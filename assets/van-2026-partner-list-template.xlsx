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/>
  <mc:AlternateContent xmlns:mc="http://schemas.openxmlformats.org/markup-compatibility/2006">
    <mc:Choice Requires="x15">
      <x15ac:absPath xmlns:x15ac="http://schemas.microsoft.com/office/spreadsheetml/2010/11/ac" url="https://koreaoffice-my.sharepoint.com/personal/ysg2130_korea_ac_kr/Documents/"/>
    </mc:Choice>
  </mc:AlternateContent>
  <xr:revisionPtr revIDLastSave="4" documentId="8_{CAB3DA7E-ACD9-1D43-B91B-7BE7C69C701B}" xr6:coauthVersionLast="47" xr6:coauthVersionMax="47" xr10:uidLastSave="{B87E08D8-7B45-3D4A-9C28-D7FFEF77986A}"/>
  <bookViews>
    <workbookView xWindow="0" yWindow="740" windowWidth="29400" windowHeight="18380" tabRatio="500" xr2:uid="{00000000-000D-0000-FFFF-FFFF00000000}"/>
  </bookViews>
  <sheets>
    <sheet name="단체 참여자 최종 명단" sheetId="1" r:id="rId1"/>
  </sheets>
  <definedNames>
    <definedName name="_xlnm._FilterDatabase" localSheetId="0" hidden="1">'단체 참여자 최종 명단'!$B$103:$L$138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48" i="1" l="1"/>
  <c r="E148" i="1" s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H100" i="1"/>
  <c r="E100" i="1"/>
  <c r="B100" i="1"/>
  <c r="K98" i="1"/>
  <c r="H98" i="1"/>
  <c r="E98" i="1"/>
  <c r="B9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E59" authorId="0" shapeId="0" xr:uid="{00000000-0006-0000-0000-000001000000}">
      <text>
        <r>
          <rPr>
            <sz val="10"/>
            <rFont val="Noto Sans CJK SC"/>
            <family val="2"/>
          </rPr>
          <t xml:space="preserve">휴대전화 번호를 </t>
        </r>
        <r>
          <rPr>
            <sz val="10"/>
            <rFont val="Arial"/>
            <family val="2"/>
          </rPr>
          <t xml:space="preserve">010-0000-0000 </t>
        </r>
        <r>
          <rPr>
            <sz val="10"/>
            <rFont val="Noto Sans CJK SC"/>
            <family val="2"/>
          </rPr>
          <t>형식으로 입력해 주세요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Noto Sans CJK SC"/>
            <family val="2"/>
          </rPr>
          <t xml:space="preserve">앞자리 </t>
        </r>
        <r>
          <rPr>
            <sz val="10"/>
            <rFont val="Arial"/>
            <family val="2"/>
          </rPr>
          <t>0</t>
        </r>
        <r>
          <rPr>
            <sz val="10"/>
            <rFont val="Noto Sans CJK SC"/>
            <family val="2"/>
          </rPr>
          <t>이 유지되도록 텍스트 형식으로 지정되어 있습니다</t>
        </r>
        <r>
          <rPr>
            <sz val="10"/>
            <rFont val="Arial"/>
            <family val="2"/>
          </rPr>
          <t>.</t>
        </r>
      </text>
    </comment>
    <comment ref="K59" authorId="0" shapeId="0" xr:uid="{00000000-0006-0000-0000-000006000000}">
      <text>
        <r>
          <rPr>
            <sz val="10"/>
            <rFont val="Noto Sans CJK SC"/>
            <family val="2"/>
          </rPr>
          <t>모바일 티켓 및 행사 안내가 발송되는 주소입니다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Noto Sans CJK SC"/>
            <family val="2"/>
          </rPr>
          <t>수신 가능한 주소를 입력해 주세요</t>
        </r>
        <r>
          <rPr>
            <sz val="10"/>
            <rFont val="Arial"/>
            <family val="2"/>
          </rPr>
          <t>.</t>
        </r>
      </text>
    </comment>
    <comment ref="E103" authorId="0" shapeId="0" xr:uid="{00000000-0006-0000-0000-000002000000}">
      <text>
        <r>
          <rPr>
            <sz val="10"/>
            <rFont val="Noto Sans CJK SC"/>
            <family val="2"/>
          </rPr>
          <t>학번은 텍스트 형식입니다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Noto Sans CJK SC"/>
            <family val="2"/>
          </rPr>
          <t>예</t>
        </r>
        <r>
          <rPr>
            <sz val="10"/>
            <rFont val="Arial"/>
            <family val="2"/>
          </rPr>
          <t>) 2026-000000 / 2026000000</t>
        </r>
      </text>
    </comment>
    <comment ref="G103" authorId="0" shapeId="0" xr:uid="{00000000-0006-0000-0000-000003000000}">
      <text>
        <r>
          <rPr>
            <sz val="10"/>
            <rFont val="Noto Sans CJK SC"/>
            <family val="2"/>
          </rPr>
          <t xml:space="preserve">전화번호는 텍스트 형식으로 지정되어 있어 앞자리 </t>
        </r>
        <r>
          <rPr>
            <sz val="10"/>
            <rFont val="Arial"/>
            <family val="2"/>
          </rPr>
          <t>0</t>
        </r>
        <r>
          <rPr>
            <sz val="10"/>
            <rFont val="Noto Sans CJK SC"/>
            <family val="2"/>
          </rPr>
          <t>이 유지됩니다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Noto Sans CJK SC"/>
            <family val="2"/>
          </rPr>
          <t>예</t>
        </r>
        <r>
          <rPr>
            <sz val="10"/>
            <rFont val="Arial"/>
            <family val="2"/>
          </rPr>
          <t>) 010-0000-0000</t>
        </r>
      </text>
    </comment>
    <comment ref="H103" authorId="0" shapeId="0" xr:uid="{00000000-0006-0000-0000-000004000000}">
      <text>
        <r>
          <rPr>
            <sz val="10"/>
            <rFont val="Noto Sans CJK SC"/>
            <family val="2"/>
          </rPr>
          <t>모바일 티켓 및 참여인증서가 발송되는 주소입니다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Noto Sans CJK SC"/>
            <family val="2"/>
          </rPr>
          <t>예</t>
        </r>
        <r>
          <rPr>
            <sz val="10"/>
            <rFont val="Arial"/>
            <family val="2"/>
          </rPr>
          <t>) name@university.ac.kr</t>
        </r>
      </text>
    </comment>
    <comment ref="I103" authorId="0" shapeId="0" xr:uid="{00000000-0006-0000-0000-000005000000}">
      <text>
        <r>
          <rPr>
            <sz val="10"/>
            <rFont val="Noto Sans CJK SC"/>
            <family val="2"/>
          </rPr>
          <t xml:space="preserve">참여 희망자를 대상으로 </t>
        </r>
        <r>
          <rPr>
            <sz val="10"/>
            <rFont val="Arial"/>
            <family val="2"/>
          </rPr>
          <t>VAN</t>
        </r>
        <r>
          <rPr>
            <sz val="10"/>
            <rFont val="Noto Sans CJK SC"/>
            <family val="2"/>
          </rPr>
          <t>이 모바일 티켓 발급 과정에서 결제 방법을 개별 안내합니다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Noto Sans CJK SC"/>
            <family val="2"/>
          </rPr>
          <t xml:space="preserve">단체 특별 제휴가는 </t>
        </r>
        <r>
          <rPr>
            <sz val="10"/>
            <rFont val="Arial"/>
            <family val="2"/>
          </rPr>
          <t>1</t>
        </r>
        <r>
          <rPr>
            <sz val="10"/>
            <rFont val="Noto Sans CJK SC"/>
            <family val="2"/>
          </rPr>
          <t xml:space="preserve">인 </t>
        </r>
        <r>
          <rPr>
            <sz val="10"/>
            <rFont val="Arial"/>
            <family val="2"/>
          </rPr>
          <t>28,000</t>
        </r>
        <r>
          <rPr>
            <sz val="10"/>
            <rFont val="Noto Sans CJK SC"/>
            <family val="2"/>
          </rPr>
          <t>원입니다</t>
        </r>
        <r>
          <rPr>
            <sz val="10"/>
            <rFont val="Arial"/>
            <family val="2"/>
          </rPr>
          <t>.</t>
        </r>
      </text>
    </comment>
    <comment ref="K103" authorId="0" shapeId="0" xr:uid="{00000000-0006-0000-0000-000007000000}">
      <text>
        <r>
          <rPr>
            <sz val="10"/>
            <rFont val="Noto Sans CJK SC"/>
            <family val="2"/>
          </rPr>
          <t xml:space="preserve">대표 </t>
        </r>
        <r>
          <rPr>
            <sz val="10"/>
            <rFont val="Arial"/>
            <family val="2"/>
          </rPr>
          <t xml:space="preserve">/ </t>
        </r>
        <r>
          <rPr>
            <sz val="10"/>
            <rFont val="Noto Sans CJK SC"/>
            <family val="2"/>
          </rPr>
          <t xml:space="preserve">부대표 </t>
        </r>
        <r>
          <rPr>
            <sz val="10"/>
            <rFont val="Arial"/>
            <family val="2"/>
          </rPr>
          <t xml:space="preserve">/ </t>
        </r>
        <r>
          <rPr>
            <sz val="10"/>
            <rFont val="Noto Sans CJK SC"/>
            <family val="2"/>
          </rPr>
          <t>회장단</t>
        </r>
        <r>
          <rPr>
            <sz val="10"/>
            <rFont val="Arial"/>
            <family val="2"/>
          </rPr>
          <t>·</t>
        </r>
        <r>
          <rPr>
            <sz val="10"/>
            <rFont val="Noto Sans CJK SC"/>
            <family val="2"/>
          </rPr>
          <t xml:space="preserve">운영진 </t>
        </r>
        <r>
          <rPr>
            <sz val="10"/>
            <rFont val="Arial"/>
            <family val="2"/>
          </rPr>
          <t xml:space="preserve">/ </t>
        </r>
        <r>
          <rPr>
            <sz val="10"/>
            <rFont val="Noto Sans CJK SC"/>
            <family val="2"/>
          </rPr>
          <t xml:space="preserve">임원진 선택 시 </t>
        </r>
        <r>
          <rPr>
            <sz val="10"/>
            <rFont val="Arial"/>
            <family val="2"/>
          </rPr>
          <t xml:space="preserve">VIP </t>
        </r>
        <r>
          <rPr>
            <sz val="10"/>
            <rFont val="Noto Sans CJK SC"/>
            <family val="2"/>
          </rPr>
          <t>내빈석 검토 대상입니다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Noto Sans CJK SC"/>
            <family val="2"/>
          </rPr>
          <t xml:space="preserve">일반 부원 선택 시 </t>
        </r>
        <r>
          <rPr>
            <sz val="10"/>
            <rFont val="Arial"/>
            <family val="2"/>
          </rPr>
          <t>S</t>
        </r>
        <r>
          <rPr>
            <sz val="10"/>
            <rFont val="Noto Sans CJK SC"/>
            <family val="2"/>
          </rPr>
          <t xml:space="preserve">석 또는 </t>
        </r>
        <r>
          <rPr>
            <sz val="10"/>
            <rFont val="Arial"/>
            <family val="2"/>
          </rPr>
          <t>R</t>
        </r>
        <r>
          <rPr>
            <sz val="10"/>
            <rFont val="Noto Sans CJK SC"/>
            <family val="2"/>
          </rPr>
          <t>석 배정 대상입니다</t>
        </r>
        <r>
          <rPr>
            <sz val="10"/>
            <rFont val="Arial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<sst xmlns="http://schemas.openxmlformats.org/spreadsheetml/2006/main" count="169" uniqueCount="158">
  <si>
    <t>V A N    C O N F E R E N C E    2 0 2 6</t>
  </si>
  <si>
    <t>참여 단체별 최종 참가자 명단 제출서</t>
  </si>
  <si>
    <t>학회 · 동아리 · 학생단체 단체 참여 전용</t>
  </si>
  <si>
    <t>Official Group Participation &amp; Final Registration Form</t>
  </si>
  <si>
    <t>문 서    구 분</t>
  </si>
  <si>
    <t>행 사 일</t>
  </si>
  <si>
    <t>대 상</t>
  </si>
  <si>
    <t>단체 참여자 최종 등록</t>
  </si>
  <si>
    <r>
      <rPr>
        <b/>
        <sz val="14"/>
        <color rgb="FF13223A"/>
        <rFont val="Noto Sans KR"/>
        <charset val="1"/>
      </rPr>
      <t>2026. 09. 12. (</t>
    </r>
    <r>
      <rPr>
        <b/>
        <sz val="14"/>
        <color rgb="FF13223A"/>
        <rFont val="Noto Sans CJK SC"/>
        <family val="2"/>
      </rPr>
      <t>토</t>
    </r>
    <r>
      <rPr>
        <b/>
        <sz val="14"/>
        <color rgb="FF13223A"/>
        <rFont val="Noto Sans KR"/>
        <charset val="1"/>
      </rPr>
      <t>)</t>
    </r>
  </si>
  <si>
    <t>공식 참여 학회 · 동아리 · 학생단체</t>
  </si>
  <si>
    <t>문 서    관 리</t>
  </si>
  <si>
    <t>제 출    상 태</t>
  </si>
  <si>
    <t>문 서    형 식</t>
  </si>
  <si>
    <t>서울권 대학 학회·학술 총연합체 VAN</t>
  </si>
  <si>
    <t>최종 제출 완료</t>
  </si>
  <si>
    <t>공식 참가 등록서 · 초청 확인서</t>
  </si>
  <si>
    <t>※ 본 제출서는 VAN CONFERENCE 2026에 단체 참여 의사를 전달해 주신 학회·동아리 및 학생단체의 최종 참가자 명단을 수합하기 위한 공식 문서입니다.
     제출해 주신 정보를 바탕으로 참가자 등록, 좌석 배정, 모바일 티켓 발급, 행사 안내, 참여인증서 발급 및 Networking Night 운영을 진행할 예정입니다.
 ※ 각 참여 단체의 담당자께서는 참가자 정보의 오기재 또는 누락으로 인한 모바일 티켓 및 참여인증서 발급 오류가 발생하지 않도록 모든 정보를 반드시 최종 확인해 주시기 바랍니다.</t>
  </si>
  <si>
    <t>E V E N T    I N F O R M A T I O N</t>
  </si>
  <si>
    <t>행사 개요</t>
  </si>
  <si>
    <t>행사명</t>
  </si>
  <si>
    <t>대격변의 시대, 혁신을 묻다</t>
  </si>
  <si>
    <t>영문 부제</t>
  </si>
  <si>
    <t>The Arena of Innovation</t>
  </si>
  <si>
    <t>일시</t>
  </si>
  <si>
    <r>
      <rPr>
        <sz val="14"/>
        <color rgb="FF1A2433"/>
        <rFont val="Noto Sans KR"/>
        <charset val="1"/>
      </rPr>
      <t>2026</t>
    </r>
    <r>
      <rPr>
        <sz val="14"/>
        <color rgb="FF1A2433"/>
        <rFont val="Noto Sans CJK SC"/>
        <family val="2"/>
      </rPr>
      <t xml:space="preserve">년 </t>
    </r>
    <r>
      <rPr>
        <sz val="14"/>
        <color rgb="FF1A2433"/>
        <rFont val="Noto Sans KR"/>
        <charset val="1"/>
      </rPr>
      <t>9</t>
    </r>
    <r>
      <rPr>
        <sz val="14"/>
        <color rgb="FF1A2433"/>
        <rFont val="Noto Sans CJK SC"/>
        <family val="2"/>
      </rPr>
      <t xml:space="preserve">월 </t>
    </r>
    <r>
      <rPr>
        <sz val="14"/>
        <color rgb="FF1A2433"/>
        <rFont val="Noto Sans KR"/>
        <charset val="1"/>
      </rPr>
      <t>12</t>
    </r>
    <r>
      <rPr>
        <sz val="14"/>
        <color rgb="FF1A2433"/>
        <rFont val="Noto Sans CJK SC"/>
        <family val="2"/>
      </rPr>
      <t xml:space="preserve">일 토요일   </t>
    </r>
    <r>
      <rPr>
        <sz val="14"/>
        <color rgb="FF1A2433"/>
        <rFont val="Noto Sans KR"/>
        <charset val="1"/>
      </rPr>
      <t>14:00 – 18:00 (Networking Night: 18:00~)</t>
    </r>
  </si>
  <si>
    <t>장소</t>
  </si>
  <si>
    <t>숙명여자대학교 눈꽃광장홀</t>
  </si>
  <si>
    <t>Networking Night</t>
  </si>
  <si>
    <t>여의도 광장｜본행사 종료 직후, VAN 컨퍼런스 준비위원회 인솔 하에 단체 이동</t>
  </si>
  <si>
    <t>주최 · 주관</t>
  </si>
  <si>
    <t>대표 후원</t>
  </si>
  <si>
    <t>연세대학교   ·   Maxwell Leadership Institution</t>
  </si>
  <si>
    <t>주요 세션</t>
  </si>
  <si>
    <r>
      <rPr>
        <sz val="14"/>
        <color rgb="FF1A2433"/>
        <rFont val="Noto Sans KR"/>
        <charset val="1"/>
      </rPr>
      <t xml:space="preserve">· </t>
    </r>
    <r>
      <rPr>
        <sz val="14"/>
        <color rgb="FF1A2433"/>
        <rFont val="Noto Sans CJK SC"/>
        <family val="2"/>
      </rPr>
      <t xml:space="preserve">기술혁신 분야 전문가들과 함께하는 기술전략 세션
</t>
    </r>
    <r>
      <rPr>
        <sz val="14"/>
        <color rgb="FF1A2433"/>
        <rFont val="Noto Sans KR"/>
        <charset val="1"/>
      </rPr>
      <t xml:space="preserve">· </t>
    </r>
    <r>
      <rPr>
        <sz val="14"/>
        <color rgb="FF1A2433"/>
        <rFont val="Noto Sans CJK SC"/>
        <family val="2"/>
      </rPr>
      <t>국회의원들과 함께하는 사회</t>
    </r>
    <r>
      <rPr>
        <sz val="14"/>
        <color rgb="FF1A2433"/>
        <rFont val="Noto Sans KR"/>
        <charset val="1"/>
      </rPr>
      <t>·</t>
    </r>
    <r>
      <rPr>
        <sz val="14"/>
        <color rgb="FF1A2433"/>
        <rFont val="Noto Sans CJK SC"/>
        <family val="2"/>
      </rPr>
      <t xml:space="preserve">정치혁신 세션
</t>
    </r>
    <r>
      <rPr>
        <sz val="14"/>
        <color rgb="FF1A2433"/>
        <rFont val="Noto Sans KR"/>
        <charset val="1"/>
      </rPr>
      <t xml:space="preserve">· </t>
    </r>
    <r>
      <rPr>
        <sz val="14"/>
        <color rgb="FF1A2433"/>
        <rFont val="Noto Sans CJK SC"/>
        <family val="2"/>
      </rPr>
      <t>기업</t>
    </r>
    <r>
      <rPr>
        <sz val="14"/>
        <color rgb="FF1A2433"/>
        <rFont val="Noto Sans KR"/>
        <charset val="1"/>
      </rPr>
      <t>·</t>
    </r>
    <r>
      <rPr>
        <sz val="14"/>
        <color rgb="FF1A2433"/>
        <rFont val="Noto Sans CJK SC"/>
        <family val="2"/>
      </rPr>
      <t>법조</t>
    </r>
    <r>
      <rPr>
        <sz val="14"/>
        <color rgb="FF1A2433"/>
        <rFont val="Noto Sans KR"/>
        <charset val="1"/>
      </rPr>
      <t>·</t>
    </r>
    <r>
      <rPr>
        <sz val="14"/>
        <color rgb="FF1A2433"/>
        <rFont val="Noto Sans CJK SC"/>
        <family val="2"/>
      </rPr>
      <t>언론</t>
    </r>
    <r>
      <rPr>
        <sz val="14"/>
        <color rgb="FF1A2433"/>
        <rFont val="Noto Sans KR"/>
        <charset val="1"/>
      </rPr>
      <t>·</t>
    </r>
    <r>
      <rPr>
        <sz val="14"/>
        <color rgb="FF1A2433"/>
        <rFont val="Noto Sans CJK SC"/>
        <family val="2"/>
      </rPr>
      <t>정계</t>
    </r>
    <r>
      <rPr>
        <sz val="14"/>
        <color rgb="FF1A2433"/>
        <rFont val="Noto Sans KR"/>
        <charset val="1"/>
      </rPr>
      <t>·</t>
    </r>
    <r>
      <rPr>
        <sz val="14"/>
        <color rgb="FF1A2433"/>
        <rFont val="Noto Sans CJK SC"/>
        <family val="2"/>
      </rPr>
      <t xml:space="preserve">학계 주요 인사와 함께하는 </t>
    </r>
    <r>
      <rPr>
        <sz val="14"/>
        <color rgb="FF1A2433"/>
        <rFont val="Noto Sans KR"/>
        <charset val="1"/>
      </rPr>
      <t>Networking Night with Alumni
*</t>
    </r>
    <r>
      <rPr>
        <sz val="14"/>
        <color rgb="FF1A2433"/>
        <rFont val="Noto Sans CJK SC"/>
        <family val="2"/>
      </rPr>
      <t>세션 전 문시연 숙명여자대학교 총장께서 대표 축사를 진행합니다</t>
    </r>
    <r>
      <rPr>
        <sz val="14"/>
        <color rgb="FF1A2433"/>
        <rFont val="Noto Sans KR"/>
        <charset val="1"/>
      </rPr>
      <t>.
*</t>
    </r>
    <r>
      <rPr>
        <sz val="14"/>
        <color rgb="FF1A2433"/>
        <rFont val="Noto Sans CJK SC"/>
        <family val="2"/>
      </rPr>
      <t>현재 주한영국대사께서 참석 의사를 밝혀주셨으며</t>
    </r>
    <r>
      <rPr>
        <sz val="14"/>
        <color rgb="FF1A2433"/>
        <rFont val="Noto Sans KR"/>
        <charset val="1"/>
      </rPr>
      <t xml:space="preserve">, </t>
    </r>
    <r>
      <rPr>
        <sz val="14"/>
        <color rgb="FF1A2433"/>
        <rFont val="Noto Sans CJK SC"/>
        <family val="2"/>
      </rPr>
      <t>최종 일정 조율 중에 있습니다</t>
    </r>
    <r>
      <rPr>
        <sz val="14"/>
        <color rgb="FF1A2433"/>
        <rFont val="Noto Sans KR"/>
        <charset val="1"/>
      </rPr>
      <t>.</t>
    </r>
  </si>
  <si>
    <t>주요 연사</t>
  </si>
  <si>
    <r>
      <rPr>
        <sz val="14"/>
        <color rgb="FF000000"/>
        <rFont val="Noto Sans KR"/>
        <charset val="1"/>
      </rPr>
      <t xml:space="preserve">-Kenneth Maxwell Nance: </t>
    </r>
    <r>
      <rPr>
        <sz val="14"/>
        <color rgb="FF000000"/>
        <rFont val="Noto Sans CJK SC"/>
        <family val="2"/>
      </rPr>
      <t>하버드 박사</t>
    </r>
    <r>
      <rPr>
        <sz val="14"/>
        <color rgb="FF000000"/>
        <rFont val="Noto Sans KR"/>
        <charset val="1"/>
      </rPr>
      <t xml:space="preserve">, </t>
    </r>
    <r>
      <rPr>
        <sz val="14"/>
        <color rgb="FF000000"/>
        <rFont val="Noto Sans CJK SC"/>
        <family val="2"/>
      </rPr>
      <t xml:space="preserve">미 인트라넷 개편 공로로 세계 유일 미 대통령상 </t>
    </r>
    <r>
      <rPr>
        <sz val="14"/>
        <color rgb="FF000000"/>
        <rFont val="Noto Sans KR"/>
        <charset val="1"/>
      </rPr>
      <t>4</t>
    </r>
    <r>
      <rPr>
        <sz val="14"/>
        <color rgb="FF000000"/>
        <rFont val="Noto Sans CJK SC"/>
        <family val="2"/>
      </rPr>
      <t>회 수상</t>
    </r>
    <r>
      <rPr>
        <sz val="14"/>
        <color rgb="FF000000"/>
        <rFont val="Noto Sans KR"/>
        <charset val="1"/>
      </rPr>
      <t xml:space="preserve">, </t>
    </r>
    <r>
      <rPr>
        <sz val="14"/>
        <color rgb="FF000000"/>
        <rFont val="Noto Sans CJK SC"/>
        <family val="2"/>
      </rPr>
      <t>아마존이 선정한 세계</t>
    </r>
    <r>
      <rPr>
        <sz val="14"/>
        <color rgb="FF000000"/>
        <rFont val="Noto Sans KR"/>
        <charset val="1"/>
      </rPr>
      <t>50</t>
    </r>
    <r>
      <rPr>
        <sz val="14"/>
        <color rgb="FF000000"/>
        <rFont val="Noto Sans CJK SC"/>
        <family val="2"/>
      </rPr>
      <t xml:space="preserve">인 리더
</t>
    </r>
    <r>
      <rPr>
        <sz val="14"/>
        <color rgb="FF000000"/>
        <rFont val="Noto Sans KR"/>
        <charset val="1"/>
      </rPr>
      <t>-</t>
    </r>
    <r>
      <rPr>
        <sz val="14"/>
        <color rgb="FF000000"/>
        <rFont val="Noto Sans CJK SC"/>
        <family val="2"/>
      </rPr>
      <t>이광희</t>
    </r>
    <r>
      <rPr>
        <sz val="14"/>
        <color rgb="FF000000"/>
        <rFont val="Noto Sans KR"/>
        <charset val="1"/>
      </rPr>
      <t xml:space="preserve">: </t>
    </r>
    <r>
      <rPr>
        <sz val="14"/>
        <color rgb="FF000000"/>
        <rFont val="Noto Sans CJK SC"/>
        <family val="2"/>
      </rPr>
      <t>비브</t>
    </r>
    <r>
      <rPr>
        <sz val="14"/>
        <color rgb="FF000000"/>
        <rFont val="Noto Sans KR"/>
        <charset val="1"/>
      </rPr>
      <t xml:space="preserve">(VIV Tech.) CTO, </t>
    </r>
    <r>
      <rPr>
        <sz val="14"/>
        <color rgb="FF000000"/>
        <rFont val="Noto Sans CJK SC"/>
        <family val="2"/>
      </rPr>
      <t xml:space="preserve">보잉코리아 연구기술센터 </t>
    </r>
    <r>
      <rPr>
        <sz val="14"/>
        <color rgb="FF000000"/>
        <rFont val="Noto Sans KR"/>
        <charset val="1"/>
      </rPr>
      <t xml:space="preserve">AI Tech Lead, </t>
    </r>
    <r>
      <rPr>
        <sz val="14"/>
        <color rgb="FF000000"/>
        <rFont val="Noto Sans CJK SC"/>
        <family val="2"/>
      </rPr>
      <t>인공지능연구원</t>
    </r>
    <r>
      <rPr>
        <sz val="14"/>
        <color rgb="FF000000"/>
        <rFont val="Noto Sans KR"/>
        <charset val="1"/>
      </rPr>
      <t xml:space="preserve">(AIRI) Image Generation Team Lead, </t>
    </r>
    <r>
      <rPr>
        <sz val="14"/>
        <color rgb="FF000000"/>
        <rFont val="Noto Sans CJK SC"/>
        <family val="2"/>
      </rPr>
      <t xml:space="preserve">삼성메디슨 개발자
</t>
    </r>
    <r>
      <rPr>
        <sz val="14"/>
        <color rgb="FF000000"/>
        <rFont val="Noto Sans KR"/>
        <charset val="1"/>
      </rPr>
      <t>-</t>
    </r>
    <r>
      <rPr>
        <sz val="14"/>
        <color rgb="FF000000"/>
        <rFont val="Noto Sans CJK SC"/>
        <family val="2"/>
      </rPr>
      <t>김진홍</t>
    </r>
    <r>
      <rPr>
        <sz val="14"/>
        <color rgb="FF000000"/>
        <rFont val="Noto Sans KR"/>
        <charset val="1"/>
      </rPr>
      <t xml:space="preserve">: </t>
    </r>
    <r>
      <rPr>
        <sz val="14"/>
        <color rgb="FF000000"/>
        <rFont val="Noto Sans CJK SC"/>
        <family val="2"/>
      </rPr>
      <t>공군</t>
    </r>
    <r>
      <rPr>
        <sz val="14"/>
        <color rgb="FF000000"/>
        <rFont val="Noto Sans KR"/>
        <charset val="1"/>
      </rPr>
      <t>(</t>
    </r>
    <r>
      <rPr>
        <sz val="14"/>
        <color rgb="FF000000"/>
        <rFont val="Noto Sans CJK SC"/>
        <family val="2"/>
      </rPr>
      <t>방공유도탄</t>
    </r>
    <r>
      <rPr>
        <sz val="14"/>
        <color rgb="FF000000"/>
        <rFont val="Noto Sans KR"/>
        <charset val="1"/>
      </rPr>
      <t xml:space="preserve">) </t>
    </r>
    <r>
      <rPr>
        <sz val="14"/>
        <color rgb="FF000000"/>
        <rFont val="Noto Sans CJK SC"/>
        <family val="2"/>
      </rPr>
      <t>사령관</t>
    </r>
    <r>
      <rPr>
        <sz val="14"/>
        <color rgb="FF000000"/>
        <rFont val="Noto Sans KR"/>
        <charset val="1"/>
      </rPr>
      <t xml:space="preserve">, </t>
    </r>
    <r>
      <rPr>
        <sz val="14"/>
        <color rgb="FF000000"/>
        <rFont val="Noto Sans CJK SC"/>
        <family val="2"/>
      </rPr>
      <t>국방융복합기술연구소 부소장</t>
    </r>
    <r>
      <rPr>
        <sz val="14"/>
        <color rgb="FF000000"/>
        <rFont val="Noto Sans KR"/>
        <charset val="1"/>
      </rPr>
      <t xml:space="preserve">, </t>
    </r>
    <r>
      <rPr>
        <sz val="14"/>
        <color rgb="FF000000"/>
        <rFont val="Noto Sans CJK SC"/>
        <family val="2"/>
      </rPr>
      <t>지엘테크 부사장</t>
    </r>
    <r>
      <rPr>
        <sz val="14"/>
        <color rgb="FF000000"/>
        <rFont val="Noto Sans KR"/>
        <charset val="1"/>
      </rPr>
      <t xml:space="preserve">, </t>
    </r>
    <r>
      <rPr>
        <sz val="14"/>
        <color rgb="FF000000"/>
        <rFont val="Noto Sans CJK SC"/>
        <family val="2"/>
      </rPr>
      <t>공군전우회 부회장</t>
    </r>
    <r>
      <rPr>
        <sz val="14"/>
        <color rgb="FF000000"/>
        <rFont val="Noto Sans KR"/>
        <charset val="1"/>
      </rPr>
      <t xml:space="preserve">, </t>
    </r>
    <r>
      <rPr>
        <sz val="14"/>
        <color rgb="FF000000"/>
        <rFont val="Noto Sans CJK SC"/>
        <family val="2"/>
      </rPr>
      <t xml:space="preserve">공군항공과학고등학교 총동창회장
</t>
    </r>
    <r>
      <rPr>
        <sz val="14"/>
        <color rgb="FF000000"/>
        <rFont val="Noto Sans KR"/>
        <charset val="1"/>
      </rPr>
      <t>-</t>
    </r>
    <r>
      <rPr>
        <sz val="14"/>
        <color rgb="FF000000"/>
        <rFont val="Noto Sans CJK SC"/>
        <family val="2"/>
      </rPr>
      <t>임영일</t>
    </r>
    <r>
      <rPr>
        <sz val="14"/>
        <color rgb="FF000000"/>
        <rFont val="Noto Sans KR"/>
        <charset val="1"/>
      </rPr>
      <t xml:space="preserve">: </t>
    </r>
    <r>
      <rPr>
        <sz val="14"/>
        <color rgb="FF000000"/>
        <rFont val="Noto Sans CJK SC"/>
        <family val="2"/>
      </rPr>
      <t>국방기술진흥연구소 초대 소장</t>
    </r>
    <r>
      <rPr>
        <sz val="14"/>
        <color rgb="FF000000"/>
        <rFont val="Noto Sans KR"/>
        <charset val="1"/>
      </rPr>
      <t xml:space="preserve">, </t>
    </r>
    <r>
      <rPr>
        <sz val="14"/>
        <color rgb="FF000000"/>
        <rFont val="Noto Sans CJK SC"/>
        <family val="2"/>
      </rPr>
      <t>고려대 국제관계학 석사</t>
    </r>
    <r>
      <rPr>
        <sz val="14"/>
        <color rgb="FF000000"/>
        <rFont val="Noto Sans KR"/>
        <charset val="1"/>
      </rPr>
      <t xml:space="preserve">, </t>
    </r>
    <r>
      <rPr>
        <sz val="14"/>
        <color rgb="FF000000"/>
        <rFont val="Noto Sans CJK SC"/>
        <family val="2"/>
      </rPr>
      <t>방위사업청 화력사업부장</t>
    </r>
    <r>
      <rPr>
        <sz val="14"/>
        <color rgb="FF000000"/>
        <rFont val="Noto Sans KR"/>
        <charset val="1"/>
      </rPr>
      <t>/</t>
    </r>
    <r>
      <rPr>
        <sz val="14"/>
        <color rgb="FF000000"/>
        <rFont val="Noto Sans CJK SC"/>
        <family val="2"/>
      </rPr>
      <t>운영지원과장</t>
    </r>
    <r>
      <rPr>
        <sz val="14"/>
        <color rgb="FF000000"/>
        <rFont val="Noto Sans KR"/>
        <charset val="1"/>
      </rPr>
      <t>/</t>
    </r>
    <r>
      <rPr>
        <sz val="14"/>
        <color rgb="FF000000"/>
        <rFont val="Noto Sans CJK SC"/>
        <family val="2"/>
      </rPr>
      <t xml:space="preserve">과학화체계사업팀장
</t>
    </r>
    <r>
      <rPr>
        <sz val="14"/>
        <color rgb="FF000000"/>
        <rFont val="Noto Sans KR"/>
        <charset val="1"/>
      </rPr>
      <t>-</t>
    </r>
    <r>
      <rPr>
        <sz val="14"/>
        <color rgb="FF000000"/>
        <rFont val="Noto Sans CJK SC"/>
        <family val="2"/>
      </rPr>
      <t>김성혁</t>
    </r>
    <r>
      <rPr>
        <sz val="14"/>
        <color rgb="FF000000"/>
        <rFont val="Noto Sans KR"/>
        <charset val="1"/>
      </rPr>
      <t>: LG</t>
    </r>
    <r>
      <rPr>
        <sz val="14"/>
        <color rgb="FF000000"/>
        <rFont val="Noto Sans CJK SC"/>
        <family val="2"/>
      </rPr>
      <t xml:space="preserve">전자 상무 </t>
    </r>
    <r>
      <rPr>
        <sz val="14"/>
        <color rgb="FF000000"/>
        <rFont val="Noto Sans KR"/>
        <charset val="1"/>
      </rPr>
      <t>(LG</t>
    </r>
    <r>
      <rPr>
        <sz val="14"/>
        <color rgb="FF000000"/>
        <rFont val="Noto Sans CJK SC"/>
        <family val="2"/>
      </rPr>
      <t xml:space="preserve">전자 </t>
    </r>
    <r>
      <rPr>
        <sz val="14"/>
        <color rgb="FF000000"/>
        <rFont val="Noto Sans KR"/>
        <charset val="1"/>
      </rPr>
      <t xml:space="preserve">AI </t>
    </r>
    <r>
      <rPr>
        <sz val="14"/>
        <color rgb="FF000000"/>
        <rFont val="Noto Sans CJK SC"/>
        <family val="2"/>
      </rPr>
      <t>수석연구위원</t>
    </r>
    <r>
      <rPr>
        <sz val="14"/>
        <color rgb="FF000000"/>
        <rFont val="Noto Sans KR"/>
        <charset val="1"/>
      </rPr>
      <t>), LG</t>
    </r>
    <r>
      <rPr>
        <sz val="14"/>
        <color rgb="FF000000"/>
        <rFont val="Noto Sans CJK SC"/>
        <family val="2"/>
      </rPr>
      <t>전자 인공지능연구소</t>
    </r>
    <r>
      <rPr>
        <sz val="14"/>
        <color rgb="FF000000"/>
        <rFont val="Noto Sans KR"/>
        <charset val="1"/>
      </rPr>
      <t>/</t>
    </r>
    <r>
      <rPr>
        <sz val="14"/>
        <color rgb="FF000000"/>
        <rFont val="Noto Sans CJK SC"/>
        <family val="2"/>
      </rPr>
      <t>차세대컴퓨팅연구소 상무</t>
    </r>
    <r>
      <rPr>
        <sz val="14"/>
        <color rgb="FF000000"/>
        <rFont val="Noto Sans KR"/>
        <charset val="1"/>
      </rPr>
      <t xml:space="preserve">, </t>
    </r>
    <r>
      <rPr>
        <sz val="14"/>
        <color rgb="FF000000"/>
        <rFont val="Noto Sans CJK SC"/>
        <family val="2"/>
      </rPr>
      <t>한국양자산업협회 회장</t>
    </r>
    <r>
      <rPr>
        <sz val="14"/>
        <color rgb="FF000000"/>
        <rFont val="Noto Sans KR"/>
        <charset val="1"/>
      </rPr>
      <t xml:space="preserve">, </t>
    </r>
    <r>
      <rPr>
        <sz val="14"/>
        <color rgb="FF000000"/>
        <rFont val="Noto Sans CJK SC"/>
        <family val="2"/>
      </rPr>
      <t xml:space="preserve">조지아 </t>
    </r>
    <r>
      <rPr>
        <sz val="14"/>
        <color rgb="FF000000"/>
        <rFont val="Noto Sans KR"/>
        <charset val="1"/>
      </rPr>
      <t xml:space="preserve">Tech. </t>
    </r>
    <r>
      <rPr>
        <sz val="14"/>
        <color rgb="FF000000"/>
        <rFont val="Noto Sans CJK SC"/>
        <family val="2"/>
      </rPr>
      <t xml:space="preserve">연구진
</t>
    </r>
    <r>
      <rPr>
        <sz val="14"/>
        <color rgb="FF000000"/>
        <rFont val="Noto Sans KR"/>
        <charset val="1"/>
      </rPr>
      <t>-</t>
    </r>
    <r>
      <rPr>
        <sz val="14"/>
        <color rgb="FF000000"/>
        <rFont val="Noto Sans CJK SC"/>
        <family val="2"/>
      </rPr>
      <t>김재섭</t>
    </r>
    <r>
      <rPr>
        <sz val="14"/>
        <color rgb="FF000000"/>
        <rFont val="Noto Sans KR"/>
        <charset val="1"/>
      </rPr>
      <t xml:space="preserve">: </t>
    </r>
    <r>
      <rPr>
        <sz val="14"/>
        <color rgb="FF000000"/>
        <rFont val="Noto Sans CJK SC"/>
        <family val="2"/>
      </rPr>
      <t>제</t>
    </r>
    <r>
      <rPr>
        <sz val="14"/>
        <color rgb="FF000000"/>
        <rFont val="Noto Sans KR"/>
        <charset val="1"/>
      </rPr>
      <t>22</t>
    </r>
    <r>
      <rPr>
        <sz val="14"/>
        <color rgb="FF000000"/>
        <rFont val="Noto Sans CJK SC"/>
        <family val="2"/>
      </rPr>
      <t xml:space="preserve">대 </t>
    </r>
    <r>
      <rPr>
        <sz val="14"/>
        <color rgb="FF000000"/>
        <rFont val="Noto Sans KR"/>
        <charset val="1"/>
      </rPr>
      <t>(</t>
    </r>
    <r>
      <rPr>
        <sz val="14"/>
        <color rgb="FF000000"/>
        <rFont val="Noto Sans CJK SC"/>
        <family val="2"/>
      </rPr>
      <t>현역</t>
    </r>
    <r>
      <rPr>
        <sz val="14"/>
        <color rgb="FF000000"/>
        <rFont val="Noto Sans KR"/>
        <charset val="1"/>
      </rPr>
      <t xml:space="preserve">) </t>
    </r>
    <r>
      <rPr>
        <sz val="14"/>
        <color rgb="FF000000"/>
        <rFont val="Noto Sans CJK SC"/>
        <family val="2"/>
      </rPr>
      <t>국회의원</t>
    </r>
    <r>
      <rPr>
        <sz val="14"/>
        <color rgb="FF000000"/>
        <rFont val="Noto Sans KR"/>
        <charset val="1"/>
      </rPr>
      <t xml:space="preserve">, </t>
    </r>
    <r>
      <rPr>
        <sz val="14"/>
        <color rgb="FF000000"/>
        <rFont val="Noto Sans CJK SC"/>
        <family val="2"/>
      </rPr>
      <t>국민의힘</t>
    </r>
    <r>
      <rPr>
        <sz val="14"/>
        <color rgb="FF000000"/>
        <rFont val="Noto Sans KR"/>
        <charset val="1"/>
      </rPr>
      <t xml:space="preserve">, </t>
    </r>
    <r>
      <rPr>
        <sz val="14"/>
        <color rgb="FF000000"/>
        <rFont val="Noto Sans CJK SC"/>
        <family val="2"/>
      </rPr>
      <t xml:space="preserve">서울 도봉구갑
</t>
    </r>
    <r>
      <rPr>
        <sz val="14"/>
        <color rgb="FF000000"/>
        <rFont val="Noto Sans KR"/>
        <charset val="1"/>
      </rPr>
      <t>-</t>
    </r>
    <r>
      <rPr>
        <sz val="14"/>
        <color rgb="FF000000"/>
        <rFont val="Noto Sans CJK SC"/>
        <family val="2"/>
      </rPr>
      <t>천하람</t>
    </r>
    <r>
      <rPr>
        <sz val="14"/>
        <color rgb="FF000000"/>
        <rFont val="Noto Sans KR"/>
        <charset val="1"/>
      </rPr>
      <t xml:space="preserve">: </t>
    </r>
    <r>
      <rPr>
        <sz val="14"/>
        <color rgb="FF000000"/>
        <rFont val="Noto Sans CJK SC"/>
        <family val="2"/>
      </rPr>
      <t>제</t>
    </r>
    <r>
      <rPr>
        <sz val="14"/>
        <color rgb="FF000000"/>
        <rFont val="Noto Sans KR"/>
        <charset val="1"/>
      </rPr>
      <t>22</t>
    </r>
    <r>
      <rPr>
        <sz val="14"/>
        <color rgb="FF000000"/>
        <rFont val="Noto Sans CJK SC"/>
        <family val="2"/>
      </rPr>
      <t xml:space="preserve">대 </t>
    </r>
    <r>
      <rPr>
        <sz val="14"/>
        <color rgb="FF000000"/>
        <rFont val="Noto Sans KR"/>
        <charset val="1"/>
      </rPr>
      <t>(</t>
    </r>
    <r>
      <rPr>
        <sz val="14"/>
        <color rgb="FF000000"/>
        <rFont val="Noto Sans CJK SC"/>
        <family val="2"/>
      </rPr>
      <t>현역</t>
    </r>
    <r>
      <rPr>
        <sz val="14"/>
        <color rgb="FF000000"/>
        <rFont val="Noto Sans KR"/>
        <charset val="1"/>
      </rPr>
      <t xml:space="preserve">) </t>
    </r>
    <r>
      <rPr>
        <sz val="14"/>
        <color rgb="FF000000"/>
        <rFont val="Noto Sans CJK SC"/>
        <family val="2"/>
      </rPr>
      <t>국회의원</t>
    </r>
    <r>
      <rPr>
        <sz val="14"/>
        <color rgb="FF000000"/>
        <rFont val="Noto Sans KR"/>
        <charset val="1"/>
      </rPr>
      <t xml:space="preserve">, </t>
    </r>
    <r>
      <rPr>
        <sz val="14"/>
        <color rgb="FF000000"/>
        <rFont val="Noto Sans CJK SC"/>
        <family val="2"/>
      </rPr>
      <t>개혁신당</t>
    </r>
    <r>
      <rPr>
        <sz val="14"/>
        <color rgb="FF000000"/>
        <rFont val="Noto Sans KR"/>
        <charset val="1"/>
      </rPr>
      <t xml:space="preserve">, </t>
    </r>
    <r>
      <rPr>
        <sz val="14"/>
        <color rgb="FF000000"/>
        <rFont val="Noto Sans CJK SC"/>
        <family val="2"/>
      </rPr>
      <t xml:space="preserve">비례대표
</t>
    </r>
    <r>
      <rPr>
        <sz val="14"/>
        <color rgb="FF000000"/>
        <rFont val="Noto Sans KR"/>
        <charset val="1"/>
      </rPr>
      <t>-</t>
    </r>
    <r>
      <rPr>
        <sz val="14"/>
        <color rgb="FF000000"/>
        <rFont val="Noto Sans CJK SC"/>
        <family val="2"/>
      </rPr>
      <t>김동아</t>
    </r>
    <r>
      <rPr>
        <sz val="14"/>
        <color rgb="FF000000"/>
        <rFont val="Noto Sans KR"/>
        <charset val="1"/>
      </rPr>
      <t xml:space="preserve">: </t>
    </r>
    <r>
      <rPr>
        <sz val="14"/>
        <color rgb="FF000000"/>
        <rFont val="Noto Sans CJK SC"/>
        <family val="2"/>
      </rPr>
      <t>제</t>
    </r>
    <r>
      <rPr>
        <sz val="14"/>
        <color rgb="FF000000"/>
        <rFont val="Noto Sans KR"/>
        <charset val="1"/>
      </rPr>
      <t>22</t>
    </r>
    <r>
      <rPr>
        <sz val="14"/>
        <color rgb="FF000000"/>
        <rFont val="Noto Sans CJK SC"/>
        <family val="2"/>
      </rPr>
      <t xml:space="preserve">대 </t>
    </r>
    <r>
      <rPr>
        <sz val="14"/>
        <color rgb="FF000000"/>
        <rFont val="Noto Sans KR"/>
        <charset val="1"/>
      </rPr>
      <t>(</t>
    </r>
    <r>
      <rPr>
        <sz val="14"/>
        <color rgb="FF000000"/>
        <rFont val="Noto Sans CJK SC"/>
        <family val="2"/>
      </rPr>
      <t>현역</t>
    </r>
    <r>
      <rPr>
        <sz val="14"/>
        <color rgb="FF000000"/>
        <rFont val="Noto Sans KR"/>
        <charset val="1"/>
      </rPr>
      <t xml:space="preserve">) </t>
    </r>
    <r>
      <rPr>
        <sz val="14"/>
        <color rgb="FF000000"/>
        <rFont val="Noto Sans CJK SC"/>
        <family val="2"/>
      </rPr>
      <t>국회의원</t>
    </r>
    <r>
      <rPr>
        <sz val="14"/>
        <color rgb="FF000000"/>
        <rFont val="Noto Sans KR"/>
        <charset val="1"/>
      </rPr>
      <t xml:space="preserve">, </t>
    </r>
    <r>
      <rPr>
        <sz val="14"/>
        <color rgb="FF000000"/>
        <rFont val="Noto Sans CJK SC"/>
        <family val="2"/>
      </rPr>
      <t>더불어민주당</t>
    </r>
    <r>
      <rPr>
        <sz val="14"/>
        <color rgb="FF000000"/>
        <rFont val="Noto Sans KR"/>
        <charset val="1"/>
      </rPr>
      <t xml:space="preserve">, </t>
    </r>
    <r>
      <rPr>
        <sz val="14"/>
        <color rgb="FF000000"/>
        <rFont val="Noto Sans CJK SC"/>
        <family val="2"/>
      </rPr>
      <t xml:space="preserve">서대문갑
</t>
    </r>
    <r>
      <rPr>
        <sz val="14"/>
        <color rgb="FF000000"/>
        <rFont val="Noto Sans KR"/>
        <charset val="1"/>
      </rPr>
      <t>-</t>
    </r>
    <r>
      <rPr>
        <sz val="14"/>
        <color rgb="FF000000"/>
        <rFont val="Noto Sans CJK SC"/>
        <family val="2"/>
      </rPr>
      <t>손솔</t>
    </r>
    <r>
      <rPr>
        <sz val="14"/>
        <color rgb="FF000000"/>
        <rFont val="Noto Sans KR"/>
        <charset val="1"/>
      </rPr>
      <t xml:space="preserve">: </t>
    </r>
    <r>
      <rPr>
        <sz val="14"/>
        <color rgb="FF000000"/>
        <rFont val="Noto Sans CJK SC"/>
        <family val="2"/>
      </rPr>
      <t>제</t>
    </r>
    <r>
      <rPr>
        <sz val="14"/>
        <color rgb="FF000000"/>
        <rFont val="Noto Sans KR"/>
        <charset val="1"/>
      </rPr>
      <t>22</t>
    </r>
    <r>
      <rPr>
        <sz val="14"/>
        <color rgb="FF000000"/>
        <rFont val="Noto Sans CJK SC"/>
        <family val="2"/>
      </rPr>
      <t xml:space="preserve">대 </t>
    </r>
    <r>
      <rPr>
        <sz val="14"/>
        <color rgb="FF000000"/>
        <rFont val="Noto Sans KR"/>
        <charset val="1"/>
      </rPr>
      <t>(</t>
    </r>
    <r>
      <rPr>
        <sz val="14"/>
        <color rgb="FF000000"/>
        <rFont val="Noto Sans CJK SC"/>
        <family val="2"/>
      </rPr>
      <t>현역</t>
    </r>
    <r>
      <rPr>
        <sz val="14"/>
        <color rgb="FF000000"/>
        <rFont val="Noto Sans KR"/>
        <charset val="1"/>
      </rPr>
      <t xml:space="preserve">) </t>
    </r>
    <r>
      <rPr>
        <sz val="14"/>
        <color rgb="FF000000"/>
        <rFont val="Noto Sans CJK SC"/>
        <family val="2"/>
      </rPr>
      <t>국회의원</t>
    </r>
    <r>
      <rPr>
        <sz val="14"/>
        <color rgb="FF000000"/>
        <rFont val="Noto Sans KR"/>
        <charset val="1"/>
      </rPr>
      <t xml:space="preserve">, </t>
    </r>
    <r>
      <rPr>
        <sz val="14"/>
        <color rgb="FF000000"/>
        <rFont val="Noto Sans CJK SC"/>
        <family val="2"/>
      </rPr>
      <t>진보당</t>
    </r>
    <r>
      <rPr>
        <sz val="14"/>
        <color rgb="FF000000"/>
        <rFont val="Noto Sans KR"/>
        <charset val="1"/>
      </rPr>
      <t xml:space="preserve">, </t>
    </r>
    <r>
      <rPr>
        <sz val="14"/>
        <color rgb="FF000000"/>
        <rFont val="Noto Sans CJK SC"/>
        <family val="2"/>
      </rPr>
      <t xml:space="preserve">비례대표
</t>
    </r>
    <r>
      <rPr>
        <sz val="14"/>
        <color rgb="FF000000"/>
        <rFont val="Noto Sans KR"/>
        <charset val="1"/>
      </rPr>
      <t>*</t>
    </r>
    <r>
      <rPr>
        <sz val="14"/>
        <color rgb="FF000000"/>
        <rFont val="Noto Sans CJK SC"/>
        <family val="2"/>
      </rPr>
      <t>국회 원구성 지연에 따른 의정 일정 변동으로 참석 의원 구성은 일부 조정될 수 있습니다</t>
    </r>
    <r>
      <rPr>
        <sz val="14"/>
        <color rgb="FF000000"/>
        <rFont val="Noto Sans KR"/>
        <charset val="1"/>
      </rPr>
      <t>.</t>
    </r>
  </si>
  <si>
    <t>주요 알럼나이</t>
  </si>
  <si>
    <r>
      <rPr>
        <sz val="14"/>
        <color rgb="FF1A2433"/>
        <rFont val="Noto Sans KR"/>
        <charset val="1"/>
      </rPr>
      <t>-</t>
    </r>
    <r>
      <rPr>
        <sz val="14"/>
        <color rgb="FF1A2433"/>
        <rFont val="Noto Sans CJK SC"/>
        <family val="2"/>
      </rPr>
      <t>오종훈</t>
    </r>
    <r>
      <rPr>
        <sz val="14"/>
        <color rgb="FF1A2433"/>
        <rFont val="Noto Sans KR"/>
        <charset val="1"/>
      </rPr>
      <t xml:space="preserve">: SK </t>
    </r>
    <r>
      <rPr>
        <sz val="14"/>
        <color rgb="FF1A2433"/>
        <rFont val="Noto Sans CJK SC"/>
        <family val="2"/>
      </rPr>
      <t>에너지 전 대표이사 사장</t>
    </r>
    <r>
      <rPr>
        <sz val="14"/>
        <color rgb="FF1A2433"/>
        <rFont val="Noto Sans KR"/>
        <charset val="1"/>
      </rPr>
      <t xml:space="preserve">, SK Portfolio Mgmt. </t>
    </r>
    <r>
      <rPr>
        <sz val="14"/>
        <color rgb="FF1A2433"/>
        <rFont val="Noto Sans CJK SC"/>
        <family val="2"/>
      </rPr>
      <t xml:space="preserve">임원
</t>
    </r>
    <r>
      <rPr>
        <sz val="14"/>
        <color rgb="FF1A2433"/>
        <rFont val="Noto Sans KR"/>
        <charset val="1"/>
      </rPr>
      <t>-</t>
    </r>
    <r>
      <rPr>
        <sz val="14"/>
        <color rgb="FF1A2433"/>
        <rFont val="Noto Sans CJK SC"/>
        <family val="2"/>
      </rPr>
      <t>이주호</t>
    </r>
    <r>
      <rPr>
        <sz val="14"/>
        <color rgb="FF1A2433"/>
        <rFont val="Noto Sans KR"/>
        <charset val="1"/>
      </rPr>
      <t>: Dr.G(</t>
    </r>
    <r>
      <rPr>
        <sz val="14"/>
        <color rgb="FF1A2433"/>
        <rFont val="Noto Sans CJK SC"/>
        <family val="2"/>
      </rPr>
      <t>닥터지</t>
    </r>
    <r>
      <rPr>
        <sz val="14"/>
        <color rgb="FF1A2433"/>
        <rFont val="Noto Sans KR"/>
        <charset val="1"/>
      </rPr>
      <t xml:space="preserve">) </t>
    </r>
    <r>
      <rPr>
        <sz val="14"/>
        <color rgb="FF1A2433"/>
        <rFont val="Noto Sans CJK SC"/>
        <family val="2"/>
      </rPr>
      <t xml:space="preserve">전 대표
</t>
    </r>
    <r>
      <rPr>
        <sz val="14"/>
        <color rgb="FF1A2433"/>
        <rFont val="Noto Sans KR"/>
        <charset val="1"/>
      </rPr>
      <t>-</t>
    </r>
    <r>
      <rPr>
        <sz val="14"/>
        <color rgb="FF1A2433"/>
        <rFont val="Noto Sans CJK SC"/>
        <family val="2"/>
      </rPr>
      <t>양정호</t>
    </r>
    <r>
      <rPr>
        <sz val="14"/>
        <color rgb="FF1A2433"/>
        <rFont val="Noto Sans KR"/>
        <charset val="1"/>
      </rPr>
      <t xml:space="preserve">: </t>
    </r>
    <r>
      <rPr>
        <sz val="14"/>
        <color rgb="FF1A2433"/>
        <rFont val="Noto Sans CJK SC"/>
        <family val="2"/>
      </rPr>
      <t xml:space="preserve">성균관대학교 교육학과 교수
</t>
    </r>
    <r>
      <rPr>
        <sz val="14"/>
        <color rgb="FF1A2433"/>
        <rFont val="Noto Sans KR"/>
        <charset val="1"/>
      </rPr>
      <t>-</t>
    </r>
    <r>
      <rPr>
        <sz val="14"/>
        <color rgb="FF1A2433"/>
        <rFont val="Noto Sans CJK SC"/>
        <family val="2"/>
      </rPr>
      <t>김정선</t>
    </r>
    <r>
      <rPr>
        <sz val="14"/>
        <color rgb="FF1A2433"/>
        <rFont val="Noto Sans KR"/>
        <charset val="1"/>
      </rPr>
      <t xml:space="preserve">: </t>
    </r>
    <r>
      <rPr>
        <sz val="14"/>
        <color rgb="FF1A2433"/>
        <rFont val="Noto Sans CJK SC"/>
        <family val="2"/>
      </rPr>
      <t xml:space="preserve">일원법률사무소 변호사
</t>
    </r>
    <r>
      <rPr>
        <sz val="14"/>
        <color rgb="FF1A2433"/>
        <rFont val="Noto Sans KR"/>
        <charset val="1"/>
      </rPr>
      <t>-</t>
    </r>
    <r>
      <rPr>
        <sz val="14"/>
        <color rgb="FF1A2433"/>
        <rFont val="Noto Sans CJK SC"/>
        <family val="2"/>
      </rPr>
      <t>철학투스타는 이렇게 말했다</t>
    </r>
    <r>
      <rPr>
        <sz val="14"/>
        <color rgb="FF1A2433"/>
        <rFont val="Noto Sans KR"/>
        <charset val="1"/>
      </rPr>
      <t>: (</t>
    </r>
    <r>
      <rPr>
        <sz val="14"/>
        <color rgb="FF1A2433"/>
        <rFont val="Noto Sans CJK SC"/>
        <family val="2"/>
      </rPr>
      <t>인문</t>
    </r>
    <r>
      <rPr>
        <sz val="14"/>
        <color rgb="FF1A2433"/>
        <rFont val="Noto Sans KR"/>
        <charset val="1"/>
      </rPr>
      <t>)</t>
    </r>
    <r>
      <rPr>
        <sz val="14"/>
        <color rgb="FF1A2433"/>
        <rFont val="Noto Sans CJK SC"/>
        <family val="2"/>
      </rPr>
      <t xml:space="preserve">철학 분야 최대 규모 인스타 매거진 대표 </t>
    </r>
    <r>
      <rPr>
        <sz val="14"/>
        <color rgb="FF1A2433"/>
        <rFont val="Noto Sans KR"/>
        <charset val="1"/>
      </rPr>
      <t>(</t>
    </r>
    <r>
      <rPr>
        <sz val="14"/>
        <color rgb="FF1A2433"/>
        <rFont val="Noto Sans CJK SC"/>
        <family val="2"/>
      </rPr>
      <t xml:space="preserve">최근 </t>
    </r>
    <r>
      <rPr>
        <sz val="14"/>
        <color rgb="FF1A2433"/>
        <rFont val="Noto Sans KR"/>
        <charset val="1"/>
      </rPr>
      <t>90</t>
    </r>
    <r>
      <rPr>
        <sz val="14"/>
        <color rgb="FF1A2433"/>
        <rFont val="Noto Sans CJK SC"/>
        <family val="2"/>
      </rPr>
      <t xml:space="preserve">일 누적 조회수 약 </t>
    </r>
    <r>
      <rPr>
        <sz val="14"/>
        <color rgb="FF1A2433"/>
        <rFont val="Noto Sans KR"/>
        <charset val="1"/>
      </rPr>
      <t>1,680</t>
    </r>
    <r>
      <rPr>
        <sz val="14"/>
        <color rgb="FF1A2433"/>
        <rFont val="Noto Sans CJK SC"/>
        <family val="2"/>
      </rPr>
      <t>만</t>
    </r>
    <r>
      <rPr>
        <sz val="14"/>
        <color rgb="FF1A2433"/>
        <rFont val="Noto Sans KR"/>
        <charset val="1"/>
      </rPr>
      <t>)
-</t>
    </r>
    <r>
      <rPr>
        <sz val="14"/>
        <color rgb="FF1A2433"/>
        <rFont val="Noto Sans CJK SC"/>
        <family val="2"/>
      </rPr>
      <t>이주형</t>
    </r>
    <r>
      <rPr>
        <sz val="14"/>
        <color rgb="FF1A2433"/>
        <rFont val="Noto Sans KR"/>
        <charset val="1"/>
      </rPr>
      <t xml:space="preserve">: </t>
    </r>
    <r>
      <rPr>
        <sz val="14"/>
        <color rgb="FF1A2433"/>
        <rFont val="Noto Sans CJK SC"/>
        <family val="2"/>
      </rPr>
      <t>국무조정실 전문위원</t>
    </r>
    <r>
      <rPr>
        <sz val="14"/>
        <color rgb="FF1A2433"/>
        <rFont val="Noto Sans KR"/>
        <charset val="1"/>
      </rPr>
      <t xml:space="preserve">, </t>
    </r>
    <r>
      <rPr>
        <sz val="14"/>
        <color rgb="FF1A2433"/>
        <rFont val="Noto Sans CJK SC"/>
        <family val="2"/>
      </rPr>
      <t>법무부 자문위원</t>
    </r>
    <r>
      <rPr>
        <sz val="14"/>
        <color rgb="FF1A2433"/>
        <rFont val="Noto Sans KR"/>
        <charset val="1"/>
      </rPr>
      <t xml:space="preserve">, </t>
    </r>
    <r>
      <rPr>
        <sz val="14"/>
        <color rgb="FF1A2433"/>
        <rFont val="Noto Sans CJK SC"/>
        <family val="2"/>
      </rPr>
      <t xml:space="preserve">뉴스통신사 기획실
</t>
    </r>
    <r>
      <rPr>
        <sz val="14"/>
        <color rgb="FF1A2433"/>
        <rFont val="Noto Sans KR"/>
        <charset val="1"/>
      </rPr>
      <t>-</t>
    </r>
    <r>
      <rPr>
        <sz val="14"/>
        <color rgb="FF1A2433"/>
        <rFont val="Noto Sans CJK SC"/>
        <family val="2"/>
      </rPr>
      <t>김소희</t>
    </r>
    <r>
      <rPr>
        <sz val="14"/>
        <color rgb="FF1A2433"/>
        <rFont val="Noto Sans KR"/>
        <charset val="1"/>
      </rPr>
      <t xml:space="preserve">: KDI </t>
    </r>
    <r>
      <rPr>
        <sz val="14"/>
        <color rgb="FF1A2433"/>
        <rFont val="Noto Sans CJK SC"/>
        <family val="2"/>
      </rPr>
      <t>국제개발협력센터 연구원</t>
    </r>
    <r>
      <rPr>
        <sz val="14"/>
        <color rgb="FF1A2433"/>
        <rFont val="Noto Sans KR"/>
        <charset val="1"/>
      </rPr>
      <t xml:space="preserve">, </t>
    </r>
    <r>
      <rPr>
        <sz val="14"/>
        <color rgb="FF1A2433"/>
        <rFont val="Noto Sans CJK SC"/>
        <family val="2"/>
      </rPr>
      <t>전 조선비즈 기자</t>
    </r>
    <r>
      <rPr>
        <sz val="14"/>
        <color rgb="FF1A2433"/>
        <rFont val="Noto Sans KR"/>
        <charset val="1"/>
      </rPr>
      <t xml:space="preserve">, </t>
    </r>
    <r>
      <rPr>
        <sz val="14"/>
        <color rgb="FF1A2433"/>
        <rFont val="Noto Sans CJK SC"/>
        <family val="2"/>
      </rPr>
      <t xml:space="preserve">전 유엔여성기구 대외협력 담당관
</t>
    </r>
    <r>
      <rPr>
        <sz val="14"/>
        <color rgb="FF1A2433"/>
        <rFont val="Noto Sans KR"/>
        <charset val="1"/>
      </rPr>
      <t>-</t>
    </r>
    <r>
      <rPr>
        <sz val="14"/>
        <color rgb="FF1A2433"/>
        <rFont val="Noto Sans CJK SC"/>
        <family val="2"/>
      </rPr>
      <t>안정훈</t>
    </r>
    <r>
      <rPr>
        <sz val="14"/>
        <color rgb="FF1A2433"/>
        <rFont val="Noto Sans KR"/>
        <charset val="1"/>
      </rPr>
      <t xml:space="preserve">: KPMG, Deloitte </t>
    </r>
    <r>
      <rPr>
        <sz val="14"/>
        <color rgb="FF1A2433"/>
        <rFont val="Noto Sans CJK SC"/>
        <family val="2"/>
      </rPr>
      <t>금융전략 컨설턴트</t>
    </r>
    <r>
      <rPr>
        <sz val="14"/>
        <color rgb="FF1A2433"/>
        <rFont val="Noto Sans KR"/>
        <charset val="1"/>
      </rPr>
      <t xml:space="preserve">, </t>
    </r>
    <r>
      <rPr>
        <sz val="14"/>
        <color rgb="FF1A2433"/>
        <rFont val="Noto Sans CJK SC"/>
        <family val="2"/>
      </rPr>
      <t>하나은행</t>
    </r>
    <r>
      <rPr>
        <sz val="14"/>
        <color rgb="FF1A2433"/>
        <rFont val="Noto Sans KR"/>
        <charset val="1"/>
      </rPr>
      <t>/</t>
    </r>
    <r>
      <rPr>
        <sz val="14"/>
        <color rgb="FF1A2433"/>
        <rFont val="Noto Sans CJK SC"/>
        <family val="2"/>
      </rPr>
      <t xml:space="preserve">케이뱅크 카드기획팀장
</t>
    </r>
    <r>
      <rPr>
        <sz val="14"/>
        <color rgb="FF1A2433"/>
        <rFont val="Noto Sans KR"/>
        <charset val="1"/>
      </rPr>
      <t>-</t>
    </r>
    <r>
      <rPr>
        <sz val="14"/>
        <color rgb="FF1A2433"/>
        <rFont val="Noto Sans CJK SC"/>
        <family val="2"/>
      </rPr>
      <t>김용승</t>
    </r>
    <r>
      <rPr>
        <sz val="14"/>
        <color rgb="FF1A2433"/>
        <rFont val="Noto Sans KR"/>
        <charset val="1"/>
      </rPr>
      <t xml:space="preserve">: HelloworldLabs </t>
    </r>
    <r>
      <rPr>
        <sz val="14"/>
        <color rgb="FF1A2433"/>
        <rFont val="Noto Sans CJK SC"/>
        <family val="2"/>
      </rPr>
      <t>본부장</t>
    </r>
    <r>
      <rPr>
        <sz val="14"/>
        <color rgb="FF1A2433"/>
        <rFont val="Noto Sans KR"/>
        <charset val="1"/>
      </rPr>
      <t xml:space="preserve">, </t>
    </r>
    <r>
      <rPr>
        <sz val="14"/>
        <color rgb="FF1A2433"/>
        <rFont val="Noto Sans CJK SC"/>
        <family val="2"/>
      </rPr>
      <t>임베디드 엔지니어링 웹개발자</t>
    </r>
    <r>
      <rPr>
        <sz val="14"/>
        <color rgb="FF1A2433"/>
        <rFont val="Noto Sans KR"/>
        <charset val="1"/>
      </rPr>
      <t xml:space="preserve">, </t>
    </r>
    <r>
      <rPr>
        <sz val="14"/>
        <color rgb="FF1A2433"/>
        <rFont val="Noto Sans CJK SC"/>
        <family val="2"/>
      </rPr>
      <t xml:space="preserve">대한민국 혁신기업 브랜드대상
</t>
    </r>
    <r>
      <rPr>
        <sz val="14"/>
        <color rgb="FF1A2433"/>
        <rFont val="Noto Sans KR"/>
        <charset val="1"/>
      </rPr>
      <t>*</t>
    </r>
    <r>
      <rPr>
        <sz val="14"/>
        <color rgb="FF1A2433"/>
        <rFont val="Noto Sans CJK SC"/>
        <family val="2"/>
      </rPr>
      <t xml:space="preserve">이 외에도 다양한 각계 인사들이 알럼나이로 </t>
    </r>
    <r>
      <rPr>
        <sz val="14"/>
        <color rgb="FF1A2433"/>
        <rFont val="Noto Sans KR"/>
        <charset val="1"/>
      </rPr>
      <t xml:space="preserve">Networking with Alumni </t>
    </r>
    <r>
      <rPr>
        <sz val="14"/>
        <color rgb="FF1A2433"/>
        <rFont val="Noto Sans CJK SC"/>
        <family val="2"/>
      </rPr>
      <t>세션에 참여합니다</t>
    </r>
    <r>
      <rPr>
        <sz val="14"/>
        <color rgb="FF1A2433"/>
        <rFont val="Noto Sans KR"/>
        <charset val="1"/>
      </rPr>
      <t>.</t>
    </r>
  </si>
  <si>
    <t>드레스코드</t>
  </si>
  <si>
    <t>블랙 앤 화이트를 기반으로 한 단정한 비즈니스 캐주얼로 통일합니다.
행사 당일 드레스코드는 흰 셔츠 + 정장 바지를 권장드립니다. 해당 복장을 별도로 보유하고 있지 않은 경우에는 무지 흰색 티셔츠 + 청바지로 착용해 주셔도 괜찮습니다. 가능한 범위 내에서 맞춰주시되, 여건상 어려운 경우에는 편하게 참석해 주셔도 됩니다.</t>
  </si>
  <si>
    <t>본 행사는 각계 주요 인사들이 함께하는 공식 학술·네트워킹 행사입니다. 행사의 성격을 고려하여, 상단 안내된 드레스코드에 맞춰 참석해 주시기를 권장드립니다.</t>
  </si>
  <si>
    <t>0 1    /    O R G A N I Z A T I O N    I N F O R M A T I O N</t>
  </si>
  <si>
    <t>참여 단체 기본정보</t>
  </si>
  <si>
    <t>O F F I C I A L    N A M E    O F    O R G A N I Z A T I O N</t>
  </si>
  <si>
    <t>공식 단체명</t>
  </si>
  <si>
    <t>행사 안내책자, 현장 제작물, 결과보고서 및 공식 홍보물에 기재될 정확한 단체명을 입력해 주세요.</t>
  </si>
  <si>
    <t>단체 유형</t>
  </si>
  <si>
    <t>소속 대학교</t>
  </si>
  <si>
    <t>소속 대학교 작성 시, 연합동아리 또는 다대학 구성 단체인 경우 ‘대학연합’로 기재해 주세요.</t>
  </si>
  <si>
    <t>단체 소개</t>
  </si>
  <si>
    <t>외부에 공개 가능한 단체의 설립 목적, 주요 활동 및 특징을 2–3문장 이내로 작성해 주세요.</t>
  </si>
  <si>
    <t>담당자 정보</t>
  </si>
  <si>
    <t>담당자 성함</t>
  </si>
  <si>
    <t>직책</t>
  </si>
  <si>
    <t>전화번호</t>
  </si>
  <si>
    <t>이메일</t>
  </si>
  <si>
    <t>비상 연락 가능 여부</t>
  </si>
  <si>
    <t>행사 당일 현장 참석 여부</t>
  </si>
  <si>
    <t>0 2    /    O F F I C I A L    C R E D I T    &amp;    L O G O</t>
  </si>
  <si>
    <t>공식 표기 및 로고 제출</t>
  </si>
  <si>
    <t>외부에 공개 가능한 정확한 공식 단체명과 최종 로고 정보를 제출해 주시기 바랍니다.</t>
  </si>
  <si>
    <t>공식 표기 단체명</t>
  </si>
  <si>
    <t>영문 단체명</t>
  </si>
  <si>
    <t>공식 로고 파일 링크</t>
  </si>
  <si>
    <t>로고 배경 유형</t>
  </si>
  <si>
    <t>공식 SNS</t>
  </si>
  <si>
    <t>공식 홈페이지</t>
  </si>
  <si>
    <t>특이사항</t>
  </si>
  <si>
    <t>투명 배경의 고해상도 PNG 또는 벡터 파일을 권장합니다. 구글 드라이브 링크를 제출하는 경우 접근 권한을 ‘링크가 있는 모든 사용자’로 설정해 주세요.</t>
  </si>
  <si>
    <t>0 3    /    I N V I T A T I O N    &amp;    B E N E F I T S</t>
  </si>
  <si>
    <t>단체 초청 및 참여 혜택</t>
  </si>
  <si>
    <r>
      <rPr>
        <b/>
        <sz val="14"/>
        <color rgb="FF13315C"/>
        <rFont val="Noto Sans KR"/>
        <charset val="1"/>
      </rPr>
      <t xml:space="preserve">1. </t>
    </r>
    <r>
      <rPr>
        <b/>
        <sz val="14"/>
        <color rgb="FF13315C"/>
        <rFont val="Noto Sans CJK SC"/>
        <family val="2"/>
      </rPr>
      <t>참여 단체의 임원진은 행사 공식 내빈으로 초청드리며</t>
    </r>
    <r>
      <rPr>
        <b/>
        <sz val="14"/>
        <color rgb="FF13315C"/>
        <rFont val="Noto Sans KR"/>
        <charset val="1"/>
      </rPr>
      <t xml:space="preserve">, </t>
    </r>
    <r>
      <rPr>
        <b/>
        <sz val="14"/>
        <color rgb="FF13315C"/>
        <rFont val="Noto Sans CJK SC"/>
        <family val="2"/>
      </rPr>
      <t xml:space="preserve">일반 판매가 기준 </t>
    </r>
    <r>
      <rPr>
        <b/>
        <sz val="14"/>
        <color rgb="FF13315C"/>
        <rFont val="Noto Sans KR"/>
        <charset val="1"/>
      </rPr>
      <t>3</t>
    </r>
    <r>
      <rPr>
        <b/>
        <sz val="14"/>
        <color rgb="FF13315C"/>
        <rFont val="Noto Sans CJK SC"/>
        <family val="2"/>
      </rPr>
      <t xml:space="preserve">만 원 이상의 </t>
    </r>
    <r>
      <rPr>
        <b/>
        <sz val="14"/>
        <color rgb="FF13315C"/>
        <rFont val="Noto Sans KR"/>
        <charset val="1"/>
      </rPr>
      <t xml:space="preserve">VIP </t>
    </r>
    <r>
      <rPr>
        <b/>
        <sz val="14"/>
        <color rgb="FF13315C"/>
        <rFont val="Noto Sans CJK SC"/>
        <family val="2"/>
      </rPr>
      <t>내빈석을 별도 비용 없이 제공할 예정입니다</t>
    </r>
    <r>
      <rPr>
        <b/>
        <sz val="14"/>
        <color rgb="FF13315C"/>
        <rFont val="Noto Sans KR"/>
        <charset val="1"/>
      </rPr>
      <t xml:space="preserve">.
2. </t>
    </r>
    <r>
      <rPr>
        <b/>
        <sz val="14"/>
        <color rgb="FF13315C"/>
        <rFont val="Noto Sans CJK SC"/>
        <family val="2"/>
      </rPr>
      <t xml:space="preserve">일반 부원 및 구성원 역시 일반 참가자에게 유료로 제공되는 </t>
    </r>
    <r>
      <rPr>
        <b/>
        <sz val="14"/>
        <color rgb="FF13315C"/>
        <rFont val="Noto Sans KR"/>
        <charset val="1"/>
      </rPr>
      <t>S</t>
    </r>
    <r>
      <rPr>
        <b/>
        <sz val="14"/>
        <color rgb="FF13315C"/>
        <rFont val="Noto Sans CJK SC"/>
        <family val="2"/>
      </rPr>
      <t xml:space="preserve">석 또는 </t>
    </r>
    <r>
      <rPr>
        <b/>
        <sz val="14"/>
        <color rgb="FF13315C"/>
        <rFont val="Noto Sans KR"/>
        <charset val="1"/>
      </rPr>
      <t>R</t>
    </r>
    <r>
      <rPr>
        <b/>
        <sz val="14"/>
        <color rgb="FF13315C"/>
        <rFont val="Noto Sans CJK SC"/>
        <family val="2"/>
      </rPr>
      <t>석에 별도의 본행사 참가비 없이 초청됩니다</t>
    </r>
    <r>
      <rPr>
        <b/>
        <sz val="14"/>
        <color rgb="FF13315C"/>
        <rFont val="Noto Sans KR"/>
        <charset val="1"/>
      </rPr>
      <t xml:space="preserve">. </t>
    </r>
    <r>
      <rPr>
        <b/>
        <sz val="14"/>
        <color rgb="FF13315C"/>
        <rFont val="Noto Sans CJK SC"/>
        <family val="2"/>
      </rPr>
      <t>최종 좌석 등급은 행사 당일 좌석 현황 및 운영 여건을 고려하여 배정됩니다</t>
    </r>
    <r>
      <rPr>
        <b/>
        <sz val="14"/>
        <color rgb="FF13315C"/>
        <rFont val="Noto Sans KR"/>
        <charset val="1"/>
      </rPr>
      <t>.
3-1. Networking Night with Alumni(</t>
    </r>
    <r>
      <rPr>
        <b/>
        <sz val="14"/>
        <color rgb="FF13315C"/>
        <rFont val="Noto Sans CJK SC"/>
        <family val="2"/>
      </rPr>
      <t>뒤풀이</t>
    </r>
    <r>
      <rPr>
        <b/>
        <sz val="14"/>
        <color rgb="FF13315C"/>
        <rFont val="Noto Sans KR"/>
        <charset val="1"/>
      </rPr>
      <t>)</t>
    </r>
    <r>
      <rPr>
        <b/>
        <sz val="14"/>
        <color rgb="FF13315C"/>
        <rFont val="Noto Sans CJK SC"/>
        <family val="2"/>
      </rPr>
      <t>는 본행사 종료 후</t>
    </r>
    <r>
      <rPr>
        <b/>
        <sz val="14"/>
        <color rgb="FF13315C"/>
        <rFont val="Noto Sans KR"/>
        <charset val="1"/>
      </rPr>
      <t xml:space="preserve">, </t>
    </r>
    <r>
      <rPr>
        <b/>
        <sz val="14"/>
        <color rgb="FF13315C"/>
        <rFont val="Noto Sans CJK SC"/>
        <family val="2"/>
      </rPr>
      <t>기업</t>
    </r>
    <r>
      <rPr>
        <b/>
        <sz val="14"/>
        <color rgb="FF13315C"/>
        <rFont val="Noto Sans KR"/>
        <charset val="1"/>
      </rPr>
      <t>·</t>
    </r>
    <r>
      <rPr>
        <b/>
        <sz val="14"/>
        <color rgb="FF13315C"/>
        <rFont val="Noto Sans CJK SC"/>
        <family val="2"/>
      </rPr>
      <t>법조</t>
    </r>
    <r>
      <rPr>
        <b/>
        <sz val="14"/>
        <color rgb="FF13315C"/>
        <rFont val="Noto Sans KR"/>
        <charset val="1"/>
      </rPr>
      <t>·</t>
    </r>
    <r>
      <rPr>
        <b/>
        <sz val="14"/>
        <color rgb="FF13315C"/>
        <rFont val="Noto Sans CJK SC"/>
        <family val="2"/>
      </rPr>
      <t>언론</t>
    </r>
    <r>
      <rPr>
        <b/>
        <sz val="14"/>
        <color rgb="FF13315C"/>
        <rFont val="Noto Sans KR"/>
        <charset val="1"/>
      </rPr>
      <t>·</t>
    </r>
    <r>
      <rPr>
        <b/>
        <sz val="14"/>
        <color rgb="FF13315C"/>
        <rFont val="Noto Sans CJK SC"/>
        <family val="2"/>
      </rPr>
      <t>학계 등 각계 주요 인사와 참여자 간의 교류를 위해 마련되는 공식 네트워킹 프로그램입니다</t>
    </r>
    <r>
      <rPr>
        <b/>
        <sz val="14"/>
        <color rgb="FF13315C"/>
        <rFont val="Noto Sans KR"/>
        <charset val="1"/>
      </rPr>
      <t xml:space="preserve">.
        </t>
    </r>
    <r>
      <rPr>
        <b/>
        <sz val="14"/>
        <color rgb="FF13315C"/>
        <rFont val="Noto Sans CJK SC"/>
        <family val="2"/>
      </rPr>
      <t xml:space="preserve">일반 참가비는 </t>
    </r>
    <r>
      <rPr>
        <b/>
        <sz val="14"/>
        <color rgb="FF13315C"/>
        <rFont val="Noto Sans KR"/>
        <charset val="1"/>
      </rPr>
      <t>1</t>
    </r>
    <r>
      <rPr>
        <b/>
        <sz val="14"/>
        <color rgb="FF13315C"/>
        <rFont val="Noto Sans CJK SC"/>
        <family val="2"/>
      </rPr>
      <t xml:space="preserve">인 </t>
    </r>
    <r>
      <rPr>
        <b/>
        <sz val="14"/>
        <color rgb="FF13315C"/>
        <rFont val="Noto Sans KR"/>
        <charset val="1"/>
      </rPr>
      <t>33,000</t>
    </r>
    <r>
      <rPr>
        <b/>
        <sz val="14"/>
        <color rgb="FF13315C"/>
        <rFont val="Noto Sans CJK SC"/>
        <family val="2"/>
      </rPr>
      <t>원이며</t>
    </r>
    <r>
      <rPr>
        <b/>
        <sz val="14"/>
        <color rgb="FF13315C"/>
        <rFont val="Noto Sans KR"/>
        <charset val="1"/>
      </rPr>
      <t xml:space="preserve">, </t>
    </r>
    <r>
      <rPr>
        <b/>
        <sz val="14"/>
        <color rgb="FF13315C"/>
        <rFont val="Noto Sans CJK SC"/>
        <family val="2"/>
      </rPr>
      <t xml:space="preserve">참여 단체 소속 구성원에게는 특별 제휴가 </t>
    </r>
    <r>
      <rPr>
        <b/>
        <sz val="14"/>
        <color rgb="FF13315C"/>
        <rFont val="Noto Sans KR"/>
        <charset val="1"/>
      </rPr>
      <t>1</t>
    </r>
    <r>
      <rPr>
        <b/>
        <sz val="14"/>
        <color rgb="FF13315C"/>
        <rFont val="Noto Sans CJK SC"/>
        <family val="2"/>
      </rPr>
      <t xml:space="preserve">인 </t>
    </r>
    <r>
      <rPr>
        <b/>
        <sz val="14"/>
        <color rgb="FF13315C"/>
        <rFont val="Noto Sans KR"/>
        <charset val="1"/>
      </rPr>
      <t>28,000</t>
    </r>
    <r>
      <rPr>
        <b/>
        <sz val="14"/>
        <color rgb="FF13315C"/>
        <rFont val="Noto Sans CJK SC"/>
        <family val="2"/>
      </rPr>
      <t>원이 적용됩니다</t>
    </r>
    <r>
      <rPr>
        <b/>
        <sz val="14"/>
        <color rgb="FF13315C"/>
        <rFont val="Noto Sans KR"/>
        <charset val="1"/>
      </rPr>
      <t xml:space="preserve">. </t>
    </r>
    <r>
      <rPr>
        <b/>
        <sz val="14"/>
        <color rgb="FF13315C"/>
        <rFont val="Noto Sans CJK SC"/>
        <family val="2"/>
      </rPr>
      <t>석식 및 주류가 함께 제공됩니다</t>
    </r>
    <r>
      <rPr>
        <b/>
        <sz val="14"/>
        <color rgb="FF13315C"/>
        <rFont val="Noto Sans KR"/>
        <charset val="1"/>
      </rPr>
      <t xml:space="preserve">.
*Networking Night </t>
    </r>
    <r>
      <rPr>
        <b/>
        <sz val="14"/>
        <color rgb="FF13315C"/>
        <rFont val="Noto Sans CJK SC"/>
        <family val="2"/>
      </rPr>
      <t>참가비는 본 명단 제출 단계에서 단체 담당자가 별도로 수납하지 않습니다</t>
    </r>
    <r>
      <rPr>
        <b/>
        <sz val="14"/>
        <color rgb="FF13315C"/>
        <rFont val="Noto Sans KR"/>
        <charset val="1"/>
      </rPr>
      <t>. VAN</t>
    </r>
    <r>
      <rPr>
        <b/>
        <sz val="14"/>
        <color rgb="FF13315C"/>
        <rFont val="Noto Sans CJK SC"/>
        <family val="2"/>
      </rPr>
      <t>이 참가자별 모바일 티켓을 개별 발급하는 과정에서 참석 의사를 최종 확인한 후</t>
    </r>
    <r>
      <rPr>
        <b/>
        <sz val="14"/>
        <color rgb="FF13315C"/>
        <rFont val="Noto Sans KR"/>
        <charset val="1"/>
      </rPr>
      <t xml:space="preserve">, </t>
    </r>
    <r>
      <rPr>
        <b/>
        <sz val="14"/>
        <color rgb="FF13315C"/>
        <rFont val="Noto Sans CJK SC"/>
        <family val="2"/>
      </rPr>
      <t>각 참가자에게 직접 참가비를 안내</t>
    </r>
    <r>
      <rPr>
        <b/>
        <sz val="14"/>
        <color rgb="FF13315C"/>
        <rFont val="Noto Sans KR"/>
        <charset val="1"/>
      </rPr>
      <t>·</t>
    </r>
    <r>
      <rPr>
        <b/>
        <sz val="14"/>
        <color rgb="FF13315C"/>
        <rFont val="Noto Sans CJK SC"/>
        <family val="2"/>
      </rPr>
      <t>수납할 예정입니다</t>
    </r>
    <r>
      <rPr>
        <b/>
        <sz val="14"/>
        <color rgb="FF13315C"/>
        <rFont val="Noto Sans KR"/>
        <charset val="1"/>
      </rPr>
      <t xml:space="preserve">. </t>
    </r>
    <r>
      <rPr>
        <b/>
        <sz val="14"/>
        <color rgb="FF13315C"/>
        <rFont val="Noto Sans CJK SC"/>
        <family val="2"/>
      </rPr>
      <t>참가비는 운영비의 일부에 충당되며</t>
    </r>
    <r>
      <rPr>
        <b/>
        <sz val="14"/>
        <color rgb="FF13315C"/>
        <rFont val="Noto Sans KR"/>
        <charset val="1"/>
      </rPr>
      <t xml:space="preserve">, </t>
    </r>
    <r>
      <rPr>
        <b/>
        <sz val="14"/>
        <color rgb="FF13315C"/>
        <rFont val="Noto Sans CJK SC"/>
        <family val="2"/>
      </rPr>
      <t>알럼나이 초청비</t>
    </r>
    <r>
      <rPr>
        <b/>
        <sz val="14"/>
        <color rgb="FF13315C"/>
        <rFont val="Noto Sans KR"/>
        <charset val="1"/>
      </rPr>
      <t>·</t>
    </r>
    <r>
      <rPr>
        <b/>
        <sz val="14"/>
        <color rgb="FF13315C"/>
        <rFont val="Noto Sans CJK SC"/>
        <family val="2"/>
      </rPr>
      <t xml:space="preserve">대관비 등 참가비만으로 충당되지 않는 제반 비용은 </t>
    </r>
    <r>
      <rPr>
        <b/>
        <sz val="14"/>
        <color rgb="FF13315C"/>
        <rFont val="Noto Sans KR"/>
        <charset val="1"/>
      </rPr>
      <t>VAN</t>
    </r>
    <r>
      <rPr>
        <b/>
        <sz val="14"/>
        <color rgb="FF13315C"/>
        <rFont val="Noto Sans CJK SC"/>
        <family val="2"/>
      </rPr>
      <t>이 전액 부담합니다</t>
    </r>
    <r>
      <rPr>
        <b/>
        <sz val="14"/>
        <color rgb="FF13315C"/>
        <rFont val="Noto Sans KR"/>
        <charset val="1"/>
      </rPr>
      <t>.</t>
    </r>
  </si>
  <si>
    <t>E X E C U T I V E</t>
  </si>
  <si>
    <t>M E M B E R</t>
  </si>
  <si>
    <t>S T A N D A R D</t>
  </si>
  <si>
    <t>P A R T N E R</t>
  </si>
  <si>
    <r>
      <rPr>
        <b/>
        <sz val="14"/>
        <color rgb="FF13223A"/>
        <rFont val="Noto Sans KR"/>
        <charset val="1"/>
      </rPr>
      <t xml:space="preserve">VIP </t>
    </r>
    <r>
      <rPr>
        <b/>
        <sz val="14"/>
        <color rgb="FF13223A"/>
        <rFont val="Noto Sans CJK SC"/>
        <family val="2"/>
      </rPr>
      <t>내빈석 초청</t>
    </r>
  </si>
  <si>
    <r>
      <rPr>
        <b/>
        <sz val="14"/>
        <color rgb="FF13223A"/>
        <rFont val="Noto Sans KR"/>
        <charset val="1"/>
      </rPr>
      <t>S</t>
    </r>
    <r>
      <rPr>
        <b/>
        <sz val="14"/>
        <color rgb="FF13223A"/>
        <rFont val="Noto Sans CJK SC"/>
        <family val="2"/>
      </rPr>
      <t xml:space="preserve">석 또는 </t>
    </r>
    <r>
      <rPr>
        <b/>
        <sz val="14"/>
        <color rgb="FF13223A"/>
        <rFont val="Noto Sans KR"/>
        <charset val="1"/>
      </rPr>
      <t>R</t>
    </r>
    <r>
      <rPr>
        <b/>
        <sz val="14"/>
        <color rgb="FF13223A"/>
        <rFont val="Noto Sans CJK SC"/>
        <family val="2"/>
      </rPr>
      <t>석 초청</t>
    </r>
  </si>
  <si>
    <r>
      <rPr>
        <b/>
        <sz val="14"/>
        <color rgb="FF13223A"/>
        <rFont val="Noto Sans KR"/>
        <charset val="1"/>
      </rPr>
      <t>33,000</t>
    </r>
    <r>
      <rPr>
        <b/>
        <sz val="14"/>
        <color rgb="FF13223A"/>
        <rFont val="Noto Sans CJK SC"/>
        <family val="2"/>
      </rPr>
      <t>원</t>
    </r>
  </si>
  <si>
    <r>
      <rPr>
        <b/>
        <sz val="14"/>
        <color rgb="FF13223A"/>
        <rFont val="Noto Sans KR"/>
        <charset val="1"/>
      </rPr>
      <t>28,000</t>
    </r>
    <r>
      <rPr>
        <b/>
        <sz val="14"/>
        <color rgb="FF13223A"/>
        <rFont val="Noto Sans CJK SC"/>
        <family val="2"/>
      </rPr>
      <t>원</t>
    </r>
  </si>
  <si>
    <t>본행사: 임원진</t>
  </si>
  <si>
    <t>본행사: 일반 구성원</t>
  </si>
  <si>
    <t>네트워킹 나잇: 일반 참가비</t>
  </si>
  <si>
    <t>네트워킹 나잇: 본 단체 구성원 특별가</t>
  </si>
  <si>
    <r>
      <rPr>
        <b/>
        <sz val="15"/>
        <color rgb="FF13223A"/>
        <rFont val="Noto Sans KR"/>
        <charset val="1"/>
      </rPr>
      <t>"Networking Night with Alumni</t>
    </r>
    <r>
      <rPr>
        <b/>
        <sz val="15"/>
        <color rgb="FF13223A"/>
        <rFont val="Noto Sans CJK SC"/>
        <family val="2"/>
      </rPr>
      <t>는 각계를 대표하는 주요 인사들을 비롯해 다양한 분야의 참가자들과 직접 교류할 수 있는 공식 네트워킹 프로그램인 만큼</t>
    </r>
    <r>
      <rPr>
        <b/>
        <sz val="15"/>
        <color rgb="FF13223A"/>
        <rFont val="Noto Sans KR"/>
        <charset val="1"/>
      </rPr>
      <t xml:space="preserve">,
</t>
    </r>
    <r>
      <rPr>
        <b/>
        <sz val="15"/>
        <color rgb="FF13223A"/>
        <rFont val="Noto Sans CJK SC"/>
        <family val="2"/>
      </rPr>
      <t>단체 구성원들의 적극적인 참여를 권장드립니다</t>
    </r>
    <r>
      <rPr>
        <b/>
        <sz val="15"/>
        <color rgb="FF13223A"/>
        <rFont val="Noto Sans KR"/>
        <charset val="1"/>
      </rPr>
      <t>"</t>
    </r>
  </si>
  <si>
    <t>0 4    /    F I N A L    P A R T I C I P A N T    L I S T</t>
  </si>
  <si>
    <t>참가자 최종 명단</t>
  </si>
  <si>
    <t>단체 소속 참가자의 정보를 한 명당 한 행씩 작성해 주세요. 성명, 학교, 학과 및 연락처는 모바일 티켓과 참여인증서 발급에 활용되므로 정확한 정보를 기재해 주시기 바랍니다.
하단의 참가자 최종 명단만 작성해 주시면, 상단 현황은 자동으로 집계되므로 별도로 입력하거나 수정하실 필요가 없습니다.</t>
  </si>
  <si>
    <t>전체 참가 예정 인원</t>
  </si>
  <si>
    <t>임원진 · 운영진 인원</t>
  </si>
  <si>
    <t>일반 부원 인원</t>
  </si>
  <si>
    <r>
      <rPr>
        <sz val="14"/>
        <color rgb="FF636363"/>
        <rFont val="Noto Sans KR"/>
        <charset val="1"/>
      </rPr>
      <t xml:space="preserve">Networking Night </t>
    </r>
    <r>
      <rPr>
        <sz val="14"/>
        <color rgb="FF636363"/>
        <rFont val="Noto Sans CJK SC"/>
        <family val="2"/>
      </rPr>
      <t>참여 희망</t>
    </r>
  </si>
  <si>
    <r>
      <rPr>
        <sz val="14"/>
        <color rgb="FF636363"/>
        <rFont val="Noto Sans KR"/>
        <charset val="1"/>
      </rPr>
      <t xml:space="preserve">Networking Night </t>
    </r>
    <r>
      <rPr>
        <sz val="14"/>
        <color rgb="FF636363"/>
        <rFont val="Noto Sans CJK SC"/>
        <family val="2"/>
      </rPr>
      <t>미정</t>
    </r>
  </si>
  <si>
    <t>영어 사용 테이블 희망</t>
  </si>
  <si>
    <t>한국어 사용 테이블 희망</t>
  </si>
  <si>
    <t>번호</t>
  </si>
  <si>
    <t>참가자명</t>
  </si>
  <si>
    <t>대학교</t>
  </si>
  <si>
    <t>학번</t>
  </si>
  <si>
    <t>학과 · 전공</t>
  </si>
  <si>
    <r>
      <rPr>
        <b/>
        <sz val="14"/>
        <color rgb="FFFBFBFC"/>
        <rFont val="Noto Sans KR"/>
        <charset val="1"/>
      </rPr>
      <t xml:space="preserve">Networking Night
</t>
    </r>
    <r>
      <rPr>
        <b/>
        <sz val="14"/>
        <color rgb="FFFBFBFC"/>
        <rFont val="Noto Sans CJK SC"/>
        <family val="2"/>
      </rPr>
      <t>참여 여부</t>
    </r>
  </si>
  <si>
    <t>영어 가능 여부 /
희망 테이블 언어</t>
  </si>
  <si>
    <t>단체 내 구분</t>
  </si>
  <si>
    <t>좌석 배정
참고사항</t>
  </si>
  <si>
    <r>
      <rPr>
        <sz val="14"/>
        <color rgb="FF636363"/>
        <rFont val="Noto Sans KR"/>
        <charset val="1"/>
      </rPr>
      <t xml:space="preserve">· </t>
    </r>
    <r>
      <rPr>
        <sz val="14"/>
        <color rgb="FF636363"/>
        <rFont val="Noto Sans CJK SC"/>
        <family val="2"/>
      </rPr>
      <t xml:space="preserve">최소 </t>
    </r>
    <r>
      <rPr>
        <sz val="14"/>
        <color rgb="FF636363"/>
        <rFont val="Noto Sans KR"/>
        <charset val="1"/>
      </rPr>
      <t>35</t>
    </r>
    <r>
      <rPr>
        <sz val="14"/>
        <color rgb="FF636363"/>
        <rFont val="Noto Sans CJK SC"/>
        <family val="2"/>
      </rPr>
      <t>명까지 입력 가능한 행이 제공됩니다</t>
    </r>
    <r>
      <rPr>
        <sz val="14"/>
        <color rgb="FF636363"/>
        <rFont val="Noto Sans KR"/>
        <charset val="1"/>
      </rPr>
      <t xml:space="preserve">. </t>
    </r>
    <r>
      <rPr>
        <sz val="14"/>
        <color rgb="FF636363"/>
        <rFont val="Noto Sans CJK SC"/>
        <family val="2"/>
      </rPr>
      <t>인원이 초과되는 경우 표 마지막 행을 선택한 뒤 행을 추가하시면 번호</t>
    </r>
    <r>
      <rPr>
        <sz val="14"/>
        <color rgb="FF636363"/>
        <rFont val="Noto Sans KR"/>
        <charset val="1"/>
      </rPr>
      <t>·</t>
    </r>
    <r>
      <rPr>
        <sz val="14"/>
        <color rgb="FF636363"/>
        <rFont val="Noto Sans CJK SC"/>
        <family val="2"/>
      </rPr>
      <t>집계</t>
    </r>
    <r>
      <rPr>
        <sz val="14"/>
        <color rgb="FF636363"/>
        <rFont val="Noto Sans KR"/>
        <charset val="1"/>
      </rPr>
      <t>·</t>
    </r>
    <r>
      <rPr>
        <sz val="14"/>
        <color rgb="FF636363"/>
        <rFont val="Noto Sans CJK SC"/>
        <family val="2"/>
      </rPr>
      <t>드롭다운이 동일하게 적용됩니다</t>
    </r>
    <r>
      <rPr>
        <sz val="14"/>
        <color rgb="FF636363"/>
        <rFont val="Noto Sans KR"/>
        <charset val="1"/>
      </rPr>
      <t>.</t>
    </r>
  </si>
  <si>
    <t>0 5    /    C O S T    &amp;    P A Y M E N T</t>
  </si>
  <si>
    <r>
      <rPr>
        <b/>
        <sz val="14"/>
        <color rgb="FF1A2433"/>
        <rFont val="Noto Sans KR"/>
        <charset val="1"/>
      </rPr>
      <t xml:space="preserve">Networking Night </t>
    </r>
    <r>
      <rPr>
        <b/>
        <sz val="14"/>
        <color rgb="FF1A2433"/>
        <rFont val="Noto Sans CJK SC"/>
        <family val="2"/>
      </rPr>
      <t>비용 입금 확인</t>
    </r>
  </si>
  <si>
    <r>
      <rPr>
        <sz val="14"/>
        <color rgb="FF3D3D3D"/>
        <rFont val="Noto Sans KR"/>
        <charset val="1"/>
      </rPr>
      <t xml:space="preserve">Networking Night </t>
    </r>
    <r>
      <rPr>
        <sz val="14"/>
        <color rgb="FF3D3D3D"/>
        <rFont val="Noto Sans CJK SC"/>
        <family val="2"/>
      </rPr>
      <t>참여 인원에 따라 참가비가 자동으로 계산됩니다</t>
    </r>
    <r>
      <rPr>
        <sz val="14"/>
        <color rgb="FF3D3D3D"/>
        <rFont val="Noto Sans KR"/>
        <charset val="1"/>
      </rPr>
      <t xml:space="preserve">.
</t>
    </r>
    <r>
      <rPr>
        <sz val="14"/>
        <color rgb="FF3D3D3D"/>
        <rFont val="Noto Sans CJK SC"/>
        <family val="2"/>
      </rPr>
      <t xml:space="preserve">참여 인원은 상단 참가자 최종 명단의 </t>
    </r>
    <r>
      <rPr>
        <sz val="14"/>
        <color rgb="FF3D3D3D"/>
        <rFont val="Noto Sans KR"/>
        <charset val="1"/>
      </rPr>
      <t xml:space="preserve">Networking Night </t>
    </r>
    <r>
      <rPr>
        <sz val="14"/>
        <color rgb="FF3D3D3D"/>
        <rFont val="Noto Sans CJK SC"/>
        <family val="2"/>
      </rPr>
      <t>참여 희망 인원과 자동으로 연동됩니다</t>
    </r>
    <r>
      <rPr>
        <sz val="14"/>
        <color rgb="FF3D3D3D"/>
        <rFont val="Noto Sans KR"/>
        <charset val="1"/>
      </rPr>
      <t>.</t>
    </r>
  </si>
  <si>
    <r>
      <rPr>
        <sz val="14"/>
        <color rgb="FF636363"/>
        <rFont val="Noto Sans KR"/>
        <charset val="1"/>
      </rPr>
      <t xml:space="preserve">Networking Night </t>
    </r>
    <r>
      <rPr>
        <sz val="14"/>
        <color rgb="FF636363"/>
        <rFont val="Noto Sans CJK SC"/>
        <family val="2"/>
      </rPr>
      <t>참여 인원</t>
    </r>
  </si>
  <si>
    <t>참가비 (자동계산)</t>
  </si>
  <si>
    <t>입금 계좌</t>
  </si>
  <si>
    <t>토스뱅크 1002-3139-5718 (정영일)</t>
  </si>
  <si>
    <r>
      <rPr>
        <sz val="14"/>
        <color rgb="FF636363"/>
        <rFont val="Noto Sans KR"/>
        <charset val="1"/>
      </rPr>
      <t xml:space="preserve">· </t>
    </r>
    <r>
      <rPr>
        <sz val="14"/>
        <color rgb="FF636363"/>
        <rFont val="Noto Sans CJK SC"/>
        <family val="2"/>
      </rPr>
      <t>입금 시 입금자명은 참가자명 또는 단체명으로 기재해 주시기 바랍니다</t>
    </r>
    <r>
      <rPr>
        <sz val="14"/>
        <color rgb="FF636363"/>
        <rFont val="Noto Sans KR"/>
        <charset val="1"/>
      </rPr>
      <t xml:space="preserve">. </t>
    </r>
    <r>
      <rPr>
        <sz val="14"/>
        <color rgb="FF636363"/>
        <rFont val="Noto Sans CJK SC"/>
        <family val="2"/>
      </rPr>
      <t>위 계좌번호 셀은 그대로 복사하여 사용하실 수 있습니다</t>
    </r>
    <r>
      <rPr>
        <sz val="14"/>
        <color rgb="FF636363"/>
        <rFont val="Noto Sans KR"/>
        <charset val="1"/>
      </rPr>
      <t>.</t>
    </r>
  </si>
  <si>
    <t>0 6    /    O N    -    S I T E    A S S I S T A N C E</t>
  </si>
  <si>
    <t>현장 지원 요청</t>
  </si>
  <si>
    <t>행사 진행 중 도움이 필요한 사항이 있으신가요?</t>
  </si>
  <si>
    <t>이동 지원, 휠체어 접근, 좌석 배치, 청각·시각 지원, 알레르기, 식이 제한, 단체 이동, 기타 행사 참여를 위해 사전에 확인이 필요한 사항을 작성해 주세요.</t>
  </si>
  <si>
    <t>민감한 개인정보를 상세히 기재하기보다 운영진이 확인해야 할 조치 사항을 중심으로 작성해 주세요. 추가 확인이 필요한 경우 담당자가 별도로 연락드릴 수 있습니다.</t>
  </si>
  <si>
    <t>0 7    /    A D D I T I O N A L    N O T E S</t>
  </si>
  <si>
    <t>기타 전달사항</t>
  </si>
  <si>
    <t>0 8    /    P R I V A C Y    &amp;    M E D I A    C O N S E N T</t>
  </si>
  <si>
    <t>개인정보 수집·이용 및 행사 촬영·기록 활용 동의</t>
  </si>
  <si>
    <t>■  수집 항목</t>
  </si>
  <si>
    <t>이름, 소속 및 학과·학번, 전화번호, 이메일, 좌석 선택 정보, Networking Night 참여 여부, 입금 확인 정보, 사전 질문 및 현장 지원 요청 사항</t>
  </si>
  <si>
    <t>■  이용 목적</t>
  </si>
  <si>
    <t>참가자 확인, 좌석 배정, 입금 확인, 행사 안내, 현장 운영, 참여인증서 발급, 문의 응대 및 행사 기록 관리</t>
  </si>
  <si>
    <t>■  보유 기간</t>
  </si>
  <si>
    <t>수집된 개인정보는 행사 운영 및 사후 행정 처리를 위해 보관되며, 행사 종료 후 1년 이내 파기됩니다. 다만 관계 법령에 따라 보존이 필요한 경우 해당 법령에서 정한 기간 동안 보관될 수 있습니다.</t>
  </si>
  <si>
    <t>■  촬영 및 기록 활용 안내</t>
  </si>
  <si>
    <t>행사 중 사진 및 영상 촬영이 진행될 수 있으며, 촬영물은 VAN 공식 SNS, 홈페이지, 홍보물, 행사 결과보고서, 언론 보도자료 등 행사 기록 및 홍보 목적으로 활용될 수 있습니다.</t>
  </si>
  <si>
    <t>■  동의 거부 안내</t>
  </si>
  <si>
    <t>개인정보 수집·이용 및 촬영·기록 활용에 동의하지 않을 권리가 있습니다. 다만 필수 정보의 수집·이용에 동의하지 않을 경우 행사 참가 신청, 좌석 배정, 모바일 티켓 발급, 참여인증서 발급 및 Networking Night 참여가 제한될 수 있습니다.</t>
  </si>
  <si>
    <t>☐</t>
  </si>
  <si>
    <t>0 9    /    F I N A L    C O N F I R M A T I O N</t>
  </si>
  <si>
    <t>최종 제출 확인</t>
  </si>
  <si>
    <t>참가자 전원의 성명과 소속 정보를 확인했습니다.</t>
  </si>
  <si>
    <t>참가자 전원의 전화번호와 이메일을 확인했습니다.</t>
  </si>
  <si>
    <r>
      <rPr>
        <sz val="14"/>
        <color rgb="FF1A2433"/>
        <rFont val="Noto Sans KR"/>
        <charset val="1"/>
      </rPr>
      <t xml:space="preserve">Networking Night </t>
    </r>
    <r>
      <rPr>
        <sz val="14"/>
        <color rgb="FF1A2433"/>
        <rFont val="Noto Sans CJK SC"/>
        <family val="2"/>
      </rPr>
      <t>참여 희망 여부를 수합했습니다</t>
    </r>
    <r>
      <rPr>
        <sz val="14"/>
        <color rgb="FF1A2433"/>
        <rFont val="Noto Sans KR"/>
        <charset val="1"/>
      </rPr>
      <t>.</t>
    </r>
  </si>
  <si>
    <t>공식 단체명과 로고 정보를 확인했습니다.</t>
  </si>
  <si>
    <t>개인정보 수집·이용 및 촬영·기록 활용 동의를 확인했습니다.</t>
  </si>
  <si>
    <r>
      <rPr>
        <sz val="14"/>
        <color rgb="FF1A2433"/>
        <rFont val="Noto Sans KR"/>
        <charset val="1"/>
      </rPr>
      <t xml:space="preserve">Networking Night </t>
    </r>
    <r>
      <rPr>
        <sz val="14"/>
        <color rgb="FF1A2433"/>
        <rFont val="Noto Sans CJK SC"/>
        <family val="2"/>
      </rPr>
      <t>참가비를 입금했습니다</t>
    </r>
    <r>
      <rPr>
        <sz val="14"/>
        <color rgb="FF1A2433"/>
        <rFont val="Noto Sans KR"/>
        <charset val="1"/>
      </rPr>
      <t>.</t>
    </r>
  </si>
  <si>
    <t>최종 제출 담당자 성함</t>
  </si>
  <si>
    <t>최종 확인 일자</t>
  </si>
  <si>
    <t>담당자 서명</t>
  </si>
  <si>
    <t>10  /    P A R T N E R S H I P    &amp;    C O N T A C T</t>
  </si>
  <si>
    <t>협력 및 문의</t>
  </si>
  <si>
    <r>
      <rPr>
        <sz val="14"/>
        <color rgb="FF3D3D3D"/>
        <rFont val="Noto Sans KR"/>
        <charset val="1"/>
      </rPr>
      <t>VAN</t>
    </r>
    <r>
      <rPr>
        <sz val="14"/>
        <color rgb="FF3D3D3D"/>
        <rFont val="Noto Sans CJK SC"/>
        <family val="2"/>
      </rPr>
      <t>은 참여 단체와의 일회성 행사 협력을 넘어 공동 학술행사</t>
    </r>
    <r>
      <rPr>
        <sz val="14"/>
        <color rgb="FF3D3D3D"/>
        <rFont val="Noto Sans KR"/>
        <charset val="1"/>
      </rPr>
      <t xml:space="preserve">, </t>
    </r>
    <r>
      <rPr>
        <sz val="14"/>
        <color rgb="FF3D3D3D"/>
        <rFont val="Noto Sans CJK SC"/>
        <family val="2"/>
      </rPr>
      <t>콘텐츠 제작</t>
    </r>
    <r>
      <rPr>
        <sz val="14"/>
        <color rgb="FF3D3D3D"/>
        <rFont val="Noto Sans KR"/>
        <charset val="1"/>
      </rPr>
      <t xml:space="preserve">, </t>
    </r>
    <r>
      <rPr>
        <sz val="14"/>
        <color rgb="FF3D3D3D"/>
        <rFont val="Noto Sans CJK SC"/>
        <family val="2"/>
      </rPr>
      <t>정책연구</t>
    </r>
    <r>
      <rPr>
        <sz val="14"/>
        <color rgb="FF3D3D3D"/>
        <rFont val="Noto Sans KR"/>
        <charset val="1"/>
      </rPr>
      <t xml:space="preserve">, </t>
    </r>
    <r>
      <rPr>
        <sz val="14"/>
        <color rgb="FF3D3D3D"/>
        <rFont val="Noto Sans CJK SC"/>
        <family val="2"/>
      </rPr>
      <t>기관 연계</t>
    </r>
    <r>
      <rPr>
        <sz val="14"/>
        <color rgb="FF3D3D3D"/>
        <rFont val="Noto Sans KR"/>
        <charset val="1"/>
      </rPr>
      <t xml:space="preserve">, </t>
    </r>
    <r>
      <rPr>
        <sz val="14"/>
        <color rgb="FF3D3D3D"/>
        <rFont val="Noto Sans CJK SC"/>
        <family val="2"/>
      </rPr>
      <t>홍보 협력 및 장기 파트너십을 적극적으로 추진하고 있습니다</t>
    </r>
    <r>
      <rPr>
        <sz val="14"/>
        <color rgb="FF3D3D3D"/>
        <rFont val="Noto Sans KR"/>
        <charset val="1"/>
      </rPr>
      <t xml:space="preserve">.
</t>
    </r>
    <r>
      <rPr>
        <sz val="14"/>
        <color rgb="FF3D3D3D"/>
        <rFont val="Noto Sans CJK SC"/>
        <family val="2"/>
      </rPr>
      <t>추가적인 협력</t>
    </r>
    <r>
      <rPr>
        <sz val="14"/>
        <color rgb="FF3D3D3D"/>
        <rFont val="Noto Sans KR"/>
        <charset val="1"/>
      </rPr>
      <t xml:space="preserve">, </t>
    </r>
    <r>
      <rPr>
        <sz val="14"/>
        <color rgb="FF3D3D3D"/>
        <rFont val="Noto Sans CJK SC"/>
        <family val="2"/>
      </rPr>
      <t>공동사업</t>
    </r>
    <r>
      <rPr>
        <sz val="14"/>
        <color rgb="FF3D3D3D"/>
        <rFont val="Noto Sans KR"/>
        <charset val="1"/>
      </rPr>
      <t xml:space="preserve">, </t>
    </r>
    <r>
      <rPr>
        <sz val="14"/>
        <color rgb="FF3D3D3D"/>
        <rFont val="Noto Sans CJK SC"/>
        <family val="2"/>
      </rPr>
      <t>후원</t>
    </r>
    <r>
      <rPr>
        <sz val="14"/>
        <color rgb="FF3D3D3D"/>
        <rFont val="Noto Sans KR"/>
        <charset val="1"/>
      </rPr>
      <t xml:space="preserve">, </t>
    </r>
    <r>
      <rPr>
        <sz val="14"/>
        <color rgb="FF3D3D3D"/>
        <rFont val="Noto Sans CJK SC"/>
        <family val="2"/>
      </rPr>
      <t xml:space="preserve">광고 및 대외 제휴와 관련한 문의는 </t>
    </r>
    <r>
      <rPr>
        <sz val="14"/>
        <color rgb="FF3D3D3D"/>
        <rFont val="Noto Sans KR"/>
        <charset val="1"/>
      </rPr>
      <t xml:space="preserve">VAN </t>
    </r>
    <r>
      <rPr>
        <sz val="14"/>
        <color rgb="FF3D3D3D"/>
        <rFont val="Noto Sans CJK SC"/>
        <family val="2"/>
      </rPr>
      <t>대표에게 연락해 주시기 바랍니다</t>
    </r>
    <r>
      <rPr>
        <sz val="14"/>
        <color rgb="FF3D3D3D"/>
        <rFont val="Noto Sans KR"/>
        <charset val="1"/>
      </rPr>
      <t xml:space="preserve">.
</t>
    </r>
    <r>
      <rPr>
        <sz val="14"/>
        <color rgb="FF3D3D3D"/>
        <rFont val="Noto Sans CJK SC"/>
        <family val="2"/>
      </rPr>
      <t>참가자 명단 제출</t>
    </r>
    <r>
      <rPr>
        <sz val="14"/>
        <color rgb="FF3D3D3D"/>
        <rFont val="Noto Sans KR"/>
        <charset val="1"/>
      </rPr>
      <t xml:space="preserve">, </t>
    </r>
    <r>
      <rPr>
        <sz val="14"/>
        <color rgb="FF3D3D3D"/>
        <rFont val="Noto Sans CJK SC"/>
        <family val="2"/>
      </rPr>
      <t>좌석</t>
    </r>
    <r>
      <rPr>
        <sz val="14"/>
        <color rgb="FF3D3D3D"/>
        <rFont val="Noto Sans KR"/>
        <charset val="1"/>
      </rPr>
      <t xml:space="preserve">, </t>
    </r>
    <r>
      <rPr>
        <sz val="14"/>
        <color rgb="FF3D3D3D"/>
        <rFont val="Noto Sans CJK SC"/>
        <family val="2"/>
      </rPr>
      <t>티켓</t>
    </r>
    <r>
      <rPr>
        <sz val="14"/>
        <color rgb="FF3D3D3D"/>
        <rFont val="Noto Sans KR"/>
        <charset val="1"/>
      </rPr>
      <t xml:space="preserve">, Networking Night, </t>
    </r>
    <r>
      <rPr>
        <sz val="14"/>
        <color rgb="FF3D3D3D"/>
        <rFont val="Noto Sans CJK SC"/>
        <family val="2"/>
      </rPr>
      <t xml:space="preserve">행사 운영 및 기타 실무 문의는 </t>
    </r>
    <r>
      <rPr>
        <sz val="14"/>
        <color rgb="FF3D3D3D"/>
        <rFont val="Noto Sans KR"/>
        <charset val="1"/>
      </rPr>
      <t xml:space="preserve">VAN </t>
    </r>
    <r>
      <rPr>
        <sz val="14"/>
        <color rgb="FF3D3D3D"/>
        <rFont val="Noto Sans CJK SC"/>
        <family val="2"/>
      </rPr>
      <t>실장에게 연락해 주시기 바랍니다</t>
    </r>
    <r>
      <rPr>
        <sz val="14"/>
        <color rgb="FF3D3D3D"/>
        <rFont val="Noto Sans KR"/>
        <charset val="1"/>
      </rPr>
      <t>.</t>
    </r>
  </si>
  <si>
    <t>P A R T N E R S H I P    &amp;    S P O N S O R S H I P</t>
  </si>
  <si>
    <t>R E G I S T R A T I O N    &amp;    O P E R A T I O N S</t>
  </si>
  <si>
    <t>협력 · 광고 · 제휴 문의</t>
  </si>
  <si>
    <t>참가 · 티켓 · 운영 문의</t>
  </si>
  <si>
    <t>정도대  대표</t>
  </si>
  <si>
    <t>유수경  실장</t>
  </si>
  <si>
    <t>010-6828-0471</t>
  </si>
  <si>
    <t>010-9303-3286</t>
  </si>
  <si>
    <r>
      <rPr>
        <sz val="14"/>
        <color rgb="FF1A2433"/>
        <rFont val="Noto Sans KR"/>
        <charset val="1"/>
      </rPr>
      <t xml:space="preserve">2026 </t>
    </r>
    <r>
      <rPr>
        <sz val="14"/>
        <color rgb="FF1A2433"/>
        <rFont val="Noto Sans CJK SC"/>
        <family val="2"/>
      </rPr>
      <t>년            월            일</t>
    </r>
  </si>
  <si>
    <r>
      <rPr>
        <i/>
        <sz val="14"/>
        <color rgb="FF000000"/>
        <rFont val="Noto Sans KR"/>
        <charset val="1"/>
      </rPr>
      <t xml:space="preserve">Ad Veritatem per Unitatem  —  </t>
    </r>
    <r>
      <rPr>
        <i/>
        <sz val="14"/>
        <color rgb="FF000000"/>
        <rFont val="Noto Sans CJK SC"/>
        <family val="2"/>
      </rPr>
      <t>연대를 통해 진리로</t>
    </r>
    <r>
      <rPr>
        <i/>
        <sz val="14"/>
        <color rgb="FF000000"/>
        <rFont val="Noto Sans KR"/>
        <charset val="1"/>
      </rPr>
      <t>.</t>
    </r>
  </si>
  <si>
    <r>
      <rPr>
        <sz val="14"/>
        <color rgb="FF636363"/>
        <rFont val="Noto Sans KR"/>
        <charset val="1"/>
      </rPr>
      <t xml:space="preserve">VAN CONFERENCE 2026   ·   Official Group Participation &amp; Final Registration Form   ·   </t>
    </r>
    <r>
      <rPr>
        <sz val="14"/>
        <color rgb="FF636363"/>
        <rFont val="Noto Sans CJK SC"/>
        <family val="2"/>
      </rPr>
      <t>서울권 대학 학회</t>
    </r>
    <r>
      <rPr>
        <sz val="14"/>
        <color rgb="FF636363"/>
        <rFont val="Noto Sans KR"/>
        <charset val="1"/>
      </rPr>
      <t>·</t>
    </r>
    <r>
      <rPr>
        <sz val="14"/>
        <color rgb="FF636363"/>
        <rFont val="Noto Sans CJK SC"/>
        <family val="2"/>
      </rPr>
      <t xml:space="preserve">학술 총연합체 </t>
    </r>
    <r>
      <rPr>
        <sz val="14"/>
        <color rgb="FF636363"/>
        <rFont val="Noto Sans KR"/>
        <charset val="1"/>
      </rPr>
      <t>VAN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</si>
</sst>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\원"/>
    <numFmt numFmtId="165" formatCode="yyyy\-mm\-dd"/>
  </numFmts>
  <fonts count="49">
    <font>
      <sz val="11"/>
      <color theme="1"/>
      <name val="Calibri"/>
      <charset val="1"/>
    </font>
    <font>
      <sz val="10"/>
      <name val="Arial"/>
      <family val="2"/>
    </font>
    <font>
      <sz val="14"/>
      <color theme="1"/>
      <name val="Noto Sans KR"/>
      <charset val="1"/>
    </font>
    <font>
      <b/>
      <sz val="14"/>
      <color rgb="FFD3DEEC"/>
      <name val="Noto Sans KR"/>
      <charset val="1"/>
    </font>
    <font>
      <b/>
      <sz val="30"/>
      <color rgb="FFFFFFFF"/>
      <name val="Noto Sans CJK SC"/>
      <family val="2"/>
      <charset val="1"/>
    </font>
    <font>
      <sz val="14"/>
      <color rgb="FFC4CEDA"/>
      <name val="Noto Sans CJK SC"/>
      <family val="2"/>
      <charset val="1"/>
    </font>
    <font>
      <sz val="14"/>
      <color rgb="FF9AA8B6"/>
      <name val="Noto Sans KR"/>
      <charset val="1"/>
    </font>
    <font>
      <b/>
      <sz val="14"/>
      <color rgb="FF13315C"/>
      <name val="Noto Sans CJK SC"/>
      <family val="2"/>
      <charset val="1"/>
    </font>
    <font>
      <b/>
      <sz val="14"/>
      <color rgb="FF13223A"/>
      <name val="Noto Sans CJK SC"/>
      <family val="2"/>
      <charset val="1"/>
    </font>
    <font>
      <b/>
      <sz val="14"/>
      <color rgb="FF13223A"/>
      <name val="Noto Sans KR"/>
      <charset val="1"/>
    </font>
    <font>
      <b/>
      <sz val="14"/>
      <color rgb="FF13223A"/>
      <name val="Noto Sans CJK SC"/>
      <family val="2"/>
    </font>
    <font>
      <b/>
      <sz val="14"/>
      <color rgb="FF13315C"/>
      <name val="Noto Sans KR"/>
      <charset val="1"/>
    </font>
    <font>
      <b/>
      <sz val="14"/>
      <color rgb="FF1A2433"/>
      <name val="Noto Sans CJK SC"/>
      <family val="2"/>
      <charset val="1"/>
    </font>
    <font>
      <b/>
      <sz val="14"/>
      <color rgb="FF1C3252"/>
      <name val="Noto Sans CJK SC"/>
      <family val="2"/>
      <charset val="1"/>
    </font>
    <font>
      <sz val="14"/>
      <color rgb="FF1A2433"/>
      <name val="Noto Sans KR"/>
      <charset val="1"/>
    </font>
    <font>
      <sz val="14"/>
      <color rgb="FF1A2433"/>
      <name val="Noto Sans CJK SC"/>
      <family val="2"/>
    </font>
    <font>
      <sz val="14"/>
      <color rgb="FF1A2433"/>
      <name val="Noto Sans CJK SC"/>
      <family val="2"/>
      <charset val="1"/>
    </font>
    <font>
      <b/>
      <sz val="14"/>
      <color rgb="FF1C3252"/>
      <name val="Noto Sans KR"/>
      <charset val="1"/>
    </font>
    <font>
      <sz val="14"/>
      <color rgb="FF000000"/>
      <name val="Noto Sans KR"/>
      <charset val="1"/>
    </font>
    <font>
      <sz val="14"/>
      <color rgb="FF000000"/>
      <name val="Noto Sans CJK SC"/>
      <family val="2"/>
    </font>
    <font>
      <i/>
      <sz val="14"/>
      <color rgb="FF5B6B7E"/>
      <name val="Noto Sans CJK SC"/>
      <family val="2"/>
      <charset val="1"/>
    </font>
    <font>
      <b/>
      <sz val="20"/>
      <color rgb="FF13315C"/>
      <name val="Noto Sans KR"/>
      <charset val="1"/>
    </font>
    <font>
      <sz val="14"/>
      <color rgb="FF636363"/>
      <name val="Noto Sans CJK SC"/>
      <family val="2"/>
      <charset val="1"/>
    </font>
    <font>
      <sz val="14"/>
      <color rgb="FF3D3D3D"/>
      <name val="Noto Sans CJK SC"/>
      <family val="2"/>
      <charset val="1"/>
    </font>
    <font>
      <sz val="14"/>
      <color rgb="FF636363"/>
      <name val="Noto Sans KR"/>
      <charset val="1"/>
    </font>
    <font>
      <b/>
      <sz val="14"/>
      <color rgb="FF13315C"/>
      <name val="Noto Sans CJK SC"/>
      <family val="2"/>
    </font>
    <font>
      <b/>
      <sz val="15"/>
      <color rgb="FF13223A"/>
      <name val="Noto Sans KR"/>
      <charset val="1"/>
    </font>
    <font>
      <b/>
      <sz val="15"/>
      <color rgb="FF13223A"/>
      <name val="Noto Sans CJK SC"/>
      <family val="2"/>
    </font>
    <font>
      <sz val="14"/>
      <color rgb="FF636363"/>
      <name val="Noto Sans CJK SC"/>
      <family val="2"/>
    </font>
    <font>
      <b/>
      <sz val="14"/>
      <color rgb="FFFBFBFC"/>
      <name val="Noto Sans CJK SC"/>
      <family val="2"/>
      <charset val="1"/>
    </font>
    <font>
      <b/>
      <sz val="14"/>
      <color rgb="FFFBFBFC"/>
      <name val="Noto Sans KR"/>
      <charset val="1"/>
    </font>
    <font>
      <b/>
      <sz val="14"/>
      <color rgb="FFFBFBFC"/>
      <name val="Noto Sans CJK SC"/>
      <family val="2"/>
    </font>
    <font>
      <sz val="11"/>
      <color theme="1"/>
      <name val="Noto Sans KR"/>
      <charset val="1"/>
    </font>
    <font>
      <sz val="14"/>
      <color rgb="FF5B6B7E"/>
      <name val="Noto Sans KR"/>
      <charset val="1"/>
    </font>
    <font>
      <sz val="11"/>
      <name val="Cambria"/>
      <family val="1"/>
    </font>
    <font>
      <b/>
      <sz val="14"/>
      <color rgb="FF1A2433"/>
      <name val="Noto Sans KR"/>
      <charset val="1"/>
    </font>
    <font>
      <b/>
      <sz val="14"/>
      <color rgb="FF1A2433"/>
      <name val="Noto Sans CJK SC"/>
      <family val="2"/>
    </font>
    <font>
      <sz val="14"/>
      <color rgb="FF3D3D3D"/>
      <name val="Noto Sans KR"/>
      <charset val="1"/>
    </font>
    <font>
      <sz val="14"/>
      <color rgb="FF3D3D3D"/>
      <name val="Noto Sans CJK SC"/>
      <family val="2"/>
    </font>
    <font>
      <sz val="14"/>
      <color rgb="FF5B6B7E"/>
      <name val="Noto Sans CJK SC"/>
      <family val="2"/>
      <charset val="1"/>
    </font>
    <font>
      <sz val="14"/>
      <color rgb="FF13223A"/>
      <name val="Noto Sans KR"/>
      <charset val="1"/>
    </font>
    <font>
      <sz val="14"/>
      <color rgb="FFD3DEEC"/>
      <name val="Noto Sans KR"/>
      <charset val="1"/>
    </font>
    <font>
      <b/>
      <sz val="14"/>
      <color rgb="FF000000"/>
      <name val="Noto Sans CJK SC"/>
      <family val="2"/>
      <charset val="1"/>
    </font>
    <font>
      <b/>
      <sz val="14"/>
      <color rgb="FFF4C9C6"/>
      <name val="Noto Sans KR"/>
      <charset val="1"/>
    </font>
    <font>
      <i/>
      <sz val="14"/>
      <color rgb="FF000000"/>
      <name val="Noto Sans KR"/>
      <charset val="1"/>
    </font>
    <font>
      <i/>
      <sz val="14"/>
      <color rgb="FF000000"/>
      <name val="Noto Sans CJK SC"/>
      <family val="2"/>
    </font>
    <font>
      <sz val="14"/>
      <color rgb="FFC98F8B"/>
      <name val="Noto Sans KR"/>
      <charset val="1"/>
    </font>
    <font>
      <sz val="10"/>
      <name val="Noto Sans CJK SC"/>
      <family val="2"/>
    </font>
    <font>
      <b/>
      <sz val="40"/>
      <color rgb="FF000000"/>
      <name val="Noto Sans CJK SC"/>
    </font>
  </fonts>
  <fills count="10">
    <fill>
      <patternFill patternType="none"/>
    </fill>
    <fill>
      <patternFill patternType="gray125"/>
    </fill>
    <fill>
      <patternFill patternType="solid">
        <fgColor rgb="FF13223A"/>
        <bgColor rgb="FF1A2433"/>
      </patternFill>
    </fill>
    <fill>
      <patternFill patternType="solid">
        <fgColor rgb="FFD9D9D9"/>
        <bgColor rgb="FFD6DBE0"/>
      </patternFill>
    </fill>
    <fill>
      <patternFill patternType="solid">
        <fgColor rgb="FFF7F7F7"/>
        <bgColor rgb="FFF6F8FB"/>
      </patternFill>
    </fill>
    <fill>
      <patternFill patternType="solid">
        <fgColor rgb="FFFFFFFF"/>
        <bgColor rgb="FFFBFBFC"/>
      </patternFill>
    </fill>
    <fill>
      <patternFill patternType="solid">
        <fgColor rgb="FFEEF2F7"/>
        <bgColor rgb="FFEAF0F4"/>
      </patternFill>
    </fill>
    <fill>
      <patternFill patternType="solid">
        <fgColor rgb="FFE8E8E8"/>
        <bgColor rgb="FFEAF0F4"/>
      </patternFill>
    </fill>
    <fill>
      <patternFill patternType="solid">
        <fgColor rgb="FFD3DEEC"/>
        <bgColor rgb="FFD6DBE0"/>
      </patternFill>
    </fill>
    <fill>
      <patternFill patternType="solid">
        <fgColor rgb="FFEAF0F4"/>
        <bgColor rgb="FFEEF2F7"/>
      </patternFill>
    </fill>
  </fills>
  <borders count="46">
    <border>
      <left/>
      <right/>
      <top/>
      <bottom/>
      <diagonal/>
    </border>
    <border>
      <left style="thin">
        <color rgb="FF13315C"/>
      </left>
      <right style="thin">
        <color rgb="FF13315C"/>
      </right>
      <top style="thin">
        <color rgb="FF13315C"/>
      </top>
      <bottom style="thin">
        <color rgb="FF13315C"/>
      </bottom>
      <diagonal/>
    </border>
    <border>
      <left/>
      <right/>
      <top/>
      <bottom style="medium">
        <color rgb="FF13315C"/>
      </bottom>
      <diagonal/>
    </border>
    <border>
      <left/>
      <right/>
      <top/>
      <bottom style="hair">
        <color rgb="FFE8E8E8"/>
      </bottom>
      <diagonal/>
    </border>
    <border>
      <left/>
      <right/>
      <top/>
      <bottom style="hair">
        <color rgb="FF5B6B7E"/>
      </bottom>
      <diagonal/>
    </border>
    <border>
      <left style="thin">
        <color rgb="FFD6DBE0"/>
      </left>
      <right/>
      <top style="thin">
        <color rgb="FFE8E8E8"/>
      </top>
      <bottom style="hair">
        <color rgb="FF5B6B7E"/>
      </bottom>
      <diagonal/>
    </border>
    <border>
      <left style="medium">
        <color rgb="FF13315C"/>
      </left>
      <right style="thin">
        <color rgb="FFD6DBE0"/>
      </right>
      <top style="thin">
        <color rgb="FFD6DBE0"/>
      </top>
      <bottom style="thin">
        <color rgb="FFD6DBE0"/>
      </bottom>
      <diagonal/>
    </border>
    <border>
      <left/>
      <right/>
      <top/>
      <bottom style="thin">
        <color rgb="FFE8E8E8"/>
      </bottom>
      <diagonal/>
    </border>
    <border>
      <left style="thin">
        <color rgb="FFD6DBE0"/>
      </left>
      <right/>
      <top style="thin">
        <color rgb="FFD6DBE0"/>
      </top>
      <bottom style="hair">
        <color rgb="FFE8E8E8"/>
      </bottom>
      <diagonal/>
    </border>
    <border>
      <left/>
      <right style="thin">
        <color rgb="FFD6DBE0"/>
      </right>
      <top style="thin">
        <color rgb="FFD6DBE0"/>
      </top>
      <bottom style="hair">
        <color rgb="FFE8E8E8"/>
      </bottom>
      <diagonal/>
    </border>
    <border>
      <left style="thin">
        <color rgb="FFD6DBE0"/>
      </left>
      <right/>
      <top style="hair">
        <color rgb="FFE8E8E8"/>
      </top>
      <bottom style="hair">
        <color rgb="FFE8E8E8"/>
      </bottom>
      <diagonal/>
    </border>
    <border>
      <left/>
      <right style="thin">
        <color rgb="FFD6DBE0"/>
      </right>
      <top style="hair">
        <color rgb="FFE8E8E8"/>
      </top>
      <bottom style="hair">
        <color rgb="FFE8E8E8"/>
      </bottom>
      <diagonal/>
    </border>
    <border>
      <left style="thin">
        <color rgb="FFD6DBE0"/>
      </left>
      <right/>
      <top style="hair">
        <color rgb="FFE8E8E8"/>
      </top>
      <bottom style="thin">
        <color rgb="FFD6DBE0"/>
      </bottom>
      <diagonal/>
    </border>
    <border>
      <left/>
      <right style="thin">
        <color rgb="FFD6DBE0"/>
      </right>
      <top style="hair">
        <color rgb="FFE8E8E8"/>
      </top>
      <bottom style="thin">
        <color rgb="FFD6DBE0"/>
      </bottom>
      <diagonal/>
    </border>
    <border>
      <left style="thin">
        <color rgb="FFD6DBE0"/>
      </left>
      <right/>
      <top style="thin">
        <color rgb="FFE8E8E8"/>
      </top>
      <bottom style="thin">
        <color rgb="FFE8E8E8"/>
      </bottom>
      <diagonal/>
    </border>
    <border>
      <left/>
      <right style="thin">
        <color rgb="FFD6DBE0"/>
      </right>
      <top style="thin">
        <color rgb="FFE8E8E8"/>
      </top>
      <bottom style="thin">
        <color rgb="FFE8E8E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6DBE0"/>
      </left>
      <right/>
      <top style="thin">
        <color rgb="FFD6DBE0"/>
      </top>
      <bottom style="thin">
        <color rgb="FFE8E8E8"/>
      </bottom>
      <diagonal/>
    </border>
    <border>
      <left/>
      <right style="thin">
        <color rgb="FFD6DBE0"/>
      </right>
      <top style="thin">
        <color rgb="FFD6DBE0"/>
      </top>
      <bottom style="thin">
        <color rgb="FFE8E8E8"/>
      </bottom>
      <diagonal/>
    </border>
    <border>
      <left style="thin">
        <color rgb="FFD6DBE0"/>
      </left>
      <right/>
      <top style="thin">
        <color rgb="FFE8E8E8"/>
      </top>
      <bottom style="thin">
        <color rgb="FFD6DBE0"/>
      </bottom>
      <diagonal/>
    </border>
    <border>
      <left/>
      <right style="thin">
        <color rgb="FFD6DBE0"/>
      </right>
      <top style="thin">
        <color rgb="FFE8E8E8"/>
      </top>
      <bottom style="thin">
        <color rgb="FFD6DBE0"/>
      </bottom>
      <diagonal/>
    </border>
    <border>
      <left style="thin">
        <color rgb="FFD6DBE0"/>
      </left>
      <right style="thin">
        <color rgb="FFD6DBE0"/>
      </right>
      <top style="thin">
        <color rgb="FFD6DBE0"/>
      </top>
      <bottom/>
      <diagonal/>
    </border>
    <border>
      <left style="thin">
        <color rgb="FFD6DBE0"/>
      </left>
      <right style="thin">
        <color rgb="FFD6DBE0"/>
      </right>
      <top/>
      <bottom/>
      <diagonal/>
    </border>
    <border>
      <left style="thin">
        <color rgb="FFD6DBE0"/>
      </left>
      <right style="thin">
        <color rgb="FFD6DBE0"/>
      </right>
      <top/>
      <bottom style="thin">
        <color rgb="FFD6DBE0"/>
      </bottom>
      <diagonal/>
    </border>
    <border>
      <left style="medium">
        <color rgb="FF13315C"/>
      </left>
      <right/>
      <top/>
      <bottom/>
      <diagonal/>
    </border>
    <border>
      <left style="thin">
        <color rgb="FFD6DBE0"/>
      </left>
      <right/>
      <top style="thin">
        <color rgb="FFD6DBE0"/>
      </top>
      <bottom/>
      <diagonal/>
    </border>
    <border>
      <left/>
      <right/>
      <top style="thin">
        <color rgb="FFD6DBE0"/>
      </top>
      <bottom/>
      <diagonal/>
    </border>
    <border>
      <left/>
      <right style="thin">
        <color rgb="FFD6DBE0"/>
      </right>
      <top style="thin">
        <color rgb="FFD6DBE0"/>
      </top>
      <bottom/>
      <diagonal/>
    </border>
    <border>
      <left style="thin">
        <color rgb="FFD6DBE0"/>
      </left>
      <right/>
      <top/>
      <bottom/>
      <diagonal/>
    </border>
    <border>
      <left/>
      <right style="thin">
        <color rgb="FFD6DBE0"/>
      </right>
      <top/>
      <bottom/>
      <diagonal/>
    </border>
    <border>
      <left style="thin">
        <color rgb="FFD6DBE0"/>
      </left>
      <right/>
      <top/>
      <bottom style="thin">
        <color rgb="FFD6DBE0"/>
      </bottom>
      <diagonal/>
    </border>
    <border>
      <left/>
      <right/>
      <top/>
      <bottom style="thin">
        <color rgb="FFD6DBE0"/>
      </bottom>
      <diagonal/>
    </border>
    <border>
      <left/>
      <right style="thin">
        <color rgb="FFD6DBE0"/>
      </right>
      <top/>
      <bottom style="thin">
        <color rgb="FFD6DBE0"/>
      </bottom>
      <diagonal/>
    </border>
    <border>
      <left style="thin">
        <color rgb="FFD6DBE0"/>
      </left>
      <right style="thin">
        <color rgb="FF2C4A69"/>
      </right>
      <top style="thin">
        <color rgb="FFD6DBE0"/>
      </top>
      <bottom style="medium">
        <color rgb="FF13315C"/>
      </bottom>
      <diagonal/>
    </border>
    <border>
      <left style="thin">
        <color rgb="FF2C4A69"/>
      </left>
      <right style="thin">
        <color rgb="FF2C4A69"/>
      </right>
      <top style="thin">
        <color rgb="FFD6DBE0"/>
      </top>
      <bottom style="medium">
        <color rgb="FF13315C"/>
      </bottom>
      <diagonal/>
    </border>
    <border>
      <left style="thin">
        <color rgb="FFD6DBE0"/>
      </left>
      <right style="thin">
        <color rgb="FFE8E8E8"/>
      </right>
      <top style="hair">
        <color rgb="FFE8E8E8"/>
      </top>
      <bottom style="hair">
        <color rgb="FFE8E8E8"/>
      </bottom>
      <diagonal/>
    </border>
    <border>
      <left style="thin">
        <color rgb="FFE8E8E8"/>
      </left>
      <right style="thin">
        <color rgb="FFE8E8E8"/>
      </right>
      <top style="hair">
        <color rgb="FFE8E8E8"/>
      </top>
      <bottom style="hair">
        <color rgb="FFE8E8E8"/>
      </bottom>
      <diagonal/>
    </border>
    <border>
      <left style="thin">
        <color rgb="FFD6DBE0"/>
      </left>
      <right style="thin">
        <color rgb="FFE8E8E8"/>
      </right>
      <top style="hair">
        <color rgb="FFE8E8E8"/>
      </top>
      <bottom style="thin">
        <color rgb="FFD6DBE0"/>
      </bottom>
      <diagonal/>
    </border>
    <border>
      <left style="thin">
        <color rgb="FFE8E8E8"/>
      </left>
      <right style="thin">
        <color rgb="FFE8E8E8"/>
      </right>
      <top style="hair">
        <color rgb="FFE8E8E8"/>
      </top>
      <bottom style="thin">
        <color rgb="FFD6DBE0"/>
      </bottom>
      <diagonal/>
    </border>
    <border>
      <left style="thin">
        <color rgb="FFD6DBE0"/>
      </left>
      <right style="thin">
        <color rgb="FFD6DBE0"/>
      </right>
      <top style="thin">
        <color rgb="FFE8E8E8"/>
      </top>
      <bottom style="thin">
        <color rgb="FFE8E8E8"/>
      </bottom>
      <diagonal/>
    </border>
    <border>
      <left/>
      <right/>
      <top style="thin">
        <color rgb="FFE8E8E8"/>
      </top>
      <bottom style="thin">
        <color rgb="FFE8E8E8"/>
      </bottom>
      <diagonal/>
    </border>
    <border>
      <left style="thin">
        <color rgb="FFD6DBE0"/>
      </left>
      <right style="thin">
        <color rgb="FFD6DBE0"/>
      </right>
      <top style="thin">
        <color rgb="FFD6DBE0"/>
      </top>
      <bottom style="hair">
        <color rgb="FFE8E8E8"/>
      </bottom>
      <diagonal/>
    </border>
    <border>
      <left style="thin">
        <color rgb="FFD6DBE0"/>
      </left>
      <right style="thin">
        <color rgb="FFD6DBE0"/>
      </right>
      <top style="hair">
        <color rgb="FFE8E8E8"/>
      </top>
      <bottom style="hair">
        <color rgb="FFE8E8E8"/>
      </bottom>
      <diagonal/>
    </border>
    <border>
      <left style="thin">
        <color rgb="FFD6DBE0"/>
      </left>
      <right style="thin">
        <color rgb="FFD6DBE0"/>
      </right>
      <top style="hair">
        <color rgb="FFE8E8E8"/>
      </top>
      <bottom style="thin">
        <color rgb="FFD6DBE0"/>
      </bottom>
      <diagonal/>
    </border>
    <border>
      <left/>
      <right/>
      <top style="thin">
        <color rgb="FFD3DEEC"/>
      </top>
      <bottom style="thin">
        <color rgb="FFD3DEEC"/>
      </bottom>
      <diagonal/>
    </border>
    <border>
      <left/>
      <right style="thin">
        <color rgb="FFD3DEEC"/>
      </right>
      <top style="thin">
        <color rgb="FFD3DEEC"/>
      </top>
      <bottom style="thin">
        <color rgb="FFD3DEEC"/>
      </bottom>
      <diagonal/>
    </border>
  </borders>
  <cellStyleXfs count="1">
    <xf numFmtId="0" fontId="0" fillId="0" borderId="0"/>
  </cellStyleXfs>
  <cellXfs count="124">
    <xf numFmtId="0" fontId="0" fillId="0" borderId="0" xfId="0"/>
    <xf numFmtId="0" fontId="12" fillId="0" borderId="2" xfId="0" applyFont="1" applyBorder="1" applyAlignment="1">
      <alignment horizontal="left"/>
    </xf>
    <xf numFmtId="0" fontId="11" fillId="0" borderId="0" xfId="0" applyFont="1" applyAlignment="1">
      <alignment horizontal="left"/>
    </xf>
    <xf numFmtId="0" fontId="7" fillId="6" borderId="6" xfId="0" applyFont="1" applyFill="1" applyBorder="1" applyAlignment="1">
      <alignment horizontal="left" vertical="center" wrapText="1"/>
    </xf>
    <xf numFmtId="0" fontId="8" fillId="5" borderId="5" xfId="0" applyFont="1" applyFill="1" applyBorder="1" applyAlignment="1">
      <alignment horizontal="left" vertical="center"/>
    </xf>
    <xf numFmtId="0" fontId="8" fillId="4" borderId="4" xfId="0" applyFont="1" applyFill="1" applyBorder="1" applyAlignment="1">
      <alignment horizontal="left" vertical="center"/>
    </xf>
    <xf numFmtId="0" fontId="8" fillId="5" borderId="0" xfId="0" applyFont="1" applyFill="1" applyAlignment="1">
      <alignment horizontal="left" vertical="center"/>
    </xf>
    <xf numFmtId="0" fontId="9" fillId="5" borderId="0" xfId="0" applyFont="1" applyFill="1" applyAlignment="1">
      <alignment horizontal="left" vertical="center"/>
    </xf>
    <xf numFmtId="0" fontId="8" fillId="4" borderId="0" xfId="0" applyFont="1" applyFill="1" applyAlignment="1">
      <alignment horizontal="left" vertical="center"/>
    </xf>
    <xf numFmtId="0" fontId="7" fillId="3" borderId="0" xfId="0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/>
    </xf>
    <xf numFmtId="0" fontId="2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2" fillId="2" borderId="0" xfId="0" applyFont="1" applyFill="1"/>
    <xf numFmtId="0" fontId="2" fillId="2" borderId="2" xfId="0" applyFont="1" applyFill="1" applyBorder="1"/>
    <xf numFmtId="0" fontId="2" fillId="0" borderId="3" xfId="0" applyFont="1" applyBorder="1"/>
    <xf numFmtId="0" fontId="2" fillId="0" borderId="7" xfId="0" applyFont="1" applyBorder="1"/>
    <xf numFmtId="0" fontId="21" fillId="0" borderId="0" xfId="0" applyFont="1" applyAlignment="1">
      <alignment horizontal="left"/>
    </xf>
    <xf numFmtId="0" fontId="24" fillId="0" borderId="0" xfId="0" applyFont="1" applyAlignment="1">
      <alignment horizontal="left" vertical="center" wrapText="1"/>
    </xf>
    <xf numFmtId="0" fontId="22" fillId="4" borderId="0" xfId="0" applyFont="1" applyFill="1" applyAlignment="1">
      <alignment horizontal="center" vertical="top"/>
    </xf>
    <xf numFmtId="0" fontId="29" fillId="2" borderId="33" xfId="0" applyFont="1" applyFill="1" applyBorder="1" applyAlignment="1">
      <alignment horizontal="center" vertical="center" wrapText="1"/>
    </xf>
    <xf numFmtId="0" fontId="29" fillId="2" borderId="34" xfId="0" applyFont="1" applyFill="1" applyBorder="1" applyAlignment="1">
      <alignment horizontal="center" vertical="center" wrapText="1"/>
    </xf>
    <xf numFmtId="0" fontId="30" fillId="2" borderId="34" xfId="0" applyFont="1" applyFill="1" applyBorder="1" applyAlignment="1">
      <alignment horizontal="center" vertical="center" wrapText="1"/>
    </xf>
    <xf numFmtId="0" fontId="32" fillId="0" borderId="0" xfId="0" applyFont="1"/>
    <xf numFmtId="0" fontId="33" fillId="5" borderId="35" xfId="0" applyFont="1" applyFill="1" applyBorder="1" applyAlignment="1">
      <alignment horizontal="center" vertical="center"/>
    </xf>
    <xf numFmtId="0" fontId="14" fillId="5" borderId="36" xfId="0" applyFont="1" applyFill="1" applyBorder="1" applyAlignment="1">
      <alignment horizontal="left" vertical="center"/>
    </xf>
    <xf numFmtId="49" fontId="14" fillId="5" borderId="36" xfId="0" applyNumberFormat="1" applyFont="1" applyFill="1" applyBorder="1" applyAlignment="1">
      <alignment horizontal="left" vertical="center"/>
    </xf>
    <xf numFmtId="0" fontId="14" fillId="5" borderId="36" xfId="0" applyFont="1" applyFill="1" applyBorder="1" applyAlignment="1">
      <alignment horizontal="center" vertical="center"/>
    </xf>
    <xf numFmtId="0" fontId="14" fillId="5" borderId="36" xfId="0" applyFont="1" applyFill="1" applyBorder="1" applyAlignment="1">
      <alignment horizontal="center" vertical="center" wrapText="1"/>
    </xf>
    <xf numFmtId="0" fontId="14" fillId="5" borderId="36" xfId="0" applyFont="1" applyFill="1" applyBorder="1" applyAlignment="1">
      <alignment horizontal="left" vertical="center" wrapText="1"/>
    </xf>
    <xf numFmtId="0" fontId="33" fillId="5" borderId="37" xfId="0" applyFont="1" applyFill="1" applyBorder="1" applyAlignment="1">
      <alignment horizontal="center" vertical="center"/>
    </xf>
    <xf numFmtId="0" fontId="14" fillId="5" borderId="38" xfId="0" applyFont="1" applyFill="1" applyBorder="1" applyAlignment="1">
      <alignment horizontal="left" vertical="center"/>
    </xf>
    <xf numFmtId="49" fontId="14" fillId="5" borderId="38" xfId="0" applyNumberFormat="1" applyFont="1" applyFill="1" applyBorder="1" applyAlignment="1">
      <alignment horizontal="left" vertical="center"/>
    </xf>
    <xf numFmtId="0" fontId="14" fillId="5" borderId="38" xfId="0" applyFont="1" applyFill="1" applyBorder="1" applyAlignment="1">
      <alignment horizontal="center" vertical="center"/>
    </xf>
    <xf numFmtId="0" fontId="14" fillId="5" borderId="38" xfId="0" applyFont="1" applyFill="1" applyBorder="1" applyAlignment="1">
      <alignment horizontal="center" vertical="center" wrapText="1"/>
    </xf>
    <xf numFmtId="0" fontId="14" fillId="5" borderId="38" xfId="0" applyFont="1" applyFill="1" applyBorder="1" applyAlignment="1">
      <alignment horizontal="left" vertical="center" wrapText="1"/>
    </xf>
    <xf numFmtId="0" fontId="34" fillId="0" borderId="0" xfId="0" applyFont="1"/>
    <xf numFmtId="0" fontId="8" fillId="4" borderId="26" xfId="0" applyFont="1" applyFill="1" applyBorder="1" applyAlignment="1">
      <alignment horizontal="center"/>
    </xf>
    <xf numFmtId="0" fontId="33" fillId="0" borderId="0" xfId="0" applyFont="1" applyAlignment="1">
      <alignment horizontal="left" vertical="center" wrapText="1"/>
    </xf>
    <xf numFmtId="0" fontId="40" fillId="0" borderId="39" xfId="0" applyFont="1" applyBorder="1" applyAlignment="1">
      <alignment horizontal="center" vertical="center"/>
    </xf>
    <xf numFmtId="0" fontId="40" fillId="5" borderId="41" xfId="0" applyFont="1" applyFill="1" applyBorder="1" applyAlignment="1">
      <alignment horizontal="center" vertical="center"/>
    </xf>
    <xf numFmtId="0" fontId="40" fillId="5" borderId="42" xfId="0" applyFont="1" applyFill="1" applyBorder="1" applyAlignment="1">
      <alignment horizontal="center" vertical="center"/>
    </xf>
    <xf numFmtId="0" fontId="40" fillId="5" borderId="43" xfId="0" applyFont="1" applyFill="1" applyBorder="1" applyAlignment="1">
      <alignment horizontal="center" vertical="center"/>
    </xf>
    <xf numFmtId="0" fontId="2" fillId="0" borderId="44" xfId="0" applyFont="1" applyBorder="1"/>
    <xf numFmtId="0" fontId="2" fillId="0" borderId="45" xfId="0" applyFont="1" applyBorder="1"/>
    <xf numFmtId="0" fontId="2" fillId="0" borderId="2" xfId="0" applyFont="1" applyBorder="1"/>
    <xf numFmtId="0" fontId="13" fillId="4" borderId="8" xfId="0" applyFont="1" applyFill="1" applyBorder="1" applyAlignment="1">
      <alignment horizontal="left" vertical="center"/>
    </xf>
    <xf numFmtId="0" fontId="8" fillId="0" borderId="9" xfId="0" applyFont="1" applyBorder="1" applyAlignment="1">
      <alignment horizontal="left" vertical="center"/>
    </xf>
    <xf numFmtId="0" fontId="13" fillId="4" borderId="10" xfId="0" applyFont="1" applyFill="1" applyBorder="1" applyAlignment="1">
      <alignment horizontal="left" vertical="center"/>
    </xf>
    <xf numFmtId="0" fontId="14" fillId="0" borderId="11" xfId="0" applyFont="1" applyBorder="1" applyAlignment="1">
      <alignment horizontal="left" vertical="center"/>
    </xf>
    <xf numFmtId="0" fontId="16" fillId="0" borderId="11" xfId="0" applyFont="1" applyBorder="1" applyAlignment="1">
      <alignment horizontal="left" vertical="center"/>
    </xf>
    <xf numFmtId="0" fontId="17" fillId="4" borderId="10" xfId="0" applyFont="1" applyFill="1" applyBorder="1" applyAlignment="1">
      <alignment horizontal="left" vertical="center"/>
    </xf>
    <xf numFmtId="0" fontId="16" fillId="0" borderId="11" xfId="0" applyFont="1" applyBorder="1" applyAlignment="1">
      <alignment horizontal="left" vertical="center" wrapText="1"/>
    </xf>
    <xf numFmtId="0" fontId="14" fillId="0" borderId="11" xfId="0" applyFont="1" applyBorder="1" applyAlignment="1">
      <alignment horizontal="left" vertical="center" wrapText="1"/>
    </xf>
    <xf numFmtId="0" fontId="18" fillId="0" borderId="11" xfId="0" applyFont="1" applyBorder="1" applyAlignment="1">
      <alignment horizontal="left" vertical="center" wrapText="1"/>
    </xf>
    <xf numFmtId="0" fontId="13" fillId="4" borderId="12" xfId="0" applyFont="1" applyFill="1" applyBorder="1" applyAlignment="1">
      <alignment horizontal="left" vertical="center"/>
    </xf>
    <xf numFmtId="0" fontId="16" fillId="0" borderId="13" xfId="0" applyFont="1" applyBorder="1" applyAlignment="1">
      <alignment horizontal="left" vertical="center" wrapText="1"/>
    </xf>
    <xf numFmtId="0" fontId="20" fillId="0" borderId="0" xfId="0" applyFont="1" applyAlignment="1">
      <alignment horizontal="left" vertical="center" wrapText="1"/>
    </xf>
    <xf numFmtId="0" fontId="21" fillId="0" borderId="0" xfId="0" applyFont="1" applyAlignment="1">
      <alignment horizontal="left"/>
    </xf>
    <xf numFmtId="0" fontId="11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22" fillId="0" borderId="0" xfId="0" applyFont="1" applyAlignment="1">
      <alignment horizontal="left" vertical="center" wrapText="1"/>
    </xf>
    <xf numFmtId="0" fontId="9" fillId="5" borderId="1" xfId="0" applyFont="1" applyFill="1" applyBorder="1" applyAlignment="1">
      <alignment horizontal="left" vertical="center"/>
    </xf>
    <xf numFmtId="0" fontId="8" fillId="7" borderId="14" xfId="0" applyFont="1" applyFill="1" applyBorder="1" applyAlignment="1">
      <alignment horizontal="left" vertical="center" wrapText="1"/>
    </xf>
    <xf numFmtId="0" fontId="14" fillId="5" borderId="15" xfId="0" applyFont="1" applyFill="1" applyBorder="1" applyAlignment="1">
      <alignment horizontal="left" vertical="center"/>
    </xf>
    <xf numFmtId="0" fontId="14" fillId="5" borderId="16" xfId="0" applyFont="1" applyFill="1" applyBorder="1" applyAlignment="1">
      <alignment horizontal="left" vertical="top" wrapText="1"/>
    </xf>
    <xf numFmtId="0" fontId="8" fillId="7" borderId="17" xfId="0" applyFont="1" applyFill="1" applyBorder="1" applyAlignment="1">
      <alignment horizontal="left" vertical="center" wrapText="1"/>
    </xf>
    <xf numFmtId="0" fontId="14" fillId="5" borderId="18" xfId="0" applyFont="1" applyFill="1" applyBorder="1" applyAlignment="1">
      <alignment horizontal="left" vertical="center"/>
    </xf>
    <xf numFmtId="49" fontId="14" fillId="5" borderId="15" xfId="0" applyNumberFormat="1" applyFont="1" applyFill="1" applyBorder="1" applyAlignment="1">
      <alignment horizontal="left" vertical="center"/>
    </xf>
    <xf numFmtId="0" fontId="8" fillId="7" borderId="19" xfId="0" applyFont="1" applyFill="1" applyBorder="1" applyAlignment="1">
      <alignment horizontal="left" vertical="center" wrapText="1"/>
    </xf>
    <xf numFmtId="0" fontId="14" fillId="5" borderId="20" xfId="0" applyFont="1" applyFill="1" applyBorder="1" applyAlignment="1">
      <alignment horizontal="left" vertical="center"/>
    </xf>
    <xf numFmtId="0" fontId="23" fillId="0" borderId="0" xfId="0" applyFont="1" applyAlignment="1">
      <alignment horizontal="left" vertical="center" wrapText="1"/>
    </xf>
    <xf numFmtId="0" fontId="14" fillId="5" borderId="20" xfId="0" applyFont="1" applyFill="1" applyBorder="1" applyAlignment="1">
      <alignment horizontal="left" vertical="top" wrapText="1"/>
    </xf>
    <xf numFmtId="0" fontId="11" fillId="6" borderId="6" xfId="0" applyFont="1" applyFill="1" applyBorder="1" applyAlignment="1">
      <alignment horizontal="left" vertical="center" wrapText="1"/>
    </xf>
    <xf numFmtId="0" fontId="11" fillId="8" borderId="21" xfId="0" applyFont="1" applyFill="1" applyBorder="1" applyAlignment="1">
      <alignment horizontal="center" vertical="center"/>
    </xf>
    <xf numFmtId="0" fontId="11" fillId="5" borderId="21" xfId="0" applyFont="1" applyFill="1" applyBorder="1" applyAlignment="1">
      <alignment horizontal="center" vertical="center"/>
    </xf>
    <xf numFmtId="0" fontId="9" fillId="8" borderId="22" xfId="0" applyFont="1" applyFill="1" applyBorder="1" applyAlignment="1">
      <alignment horizontal="center" vertical="center"/>
    </xf>
    <xf numFmtId="0" fontId="9" fillId="5" borderId="22" xfId="0" applyFont="1" applyFill="1" applyBorder="1" applyAlignment="1">
      <alignment horizontal="center" vertical="center"/>
    </xf>
    <xf numFmtId="0" fontId="22" fillId="8" borderId="23" xfId="0" applyFont="1" applyFill="1" applyBorder="1" applyAlignment="1">
      <alignment horizontal="center" vertical="top"/>
    </xf>
    <xf numFmtId="0" fontId="22" fillId="5" borderId="23" xfId="0" applyFont="1" applyFill="1" applyBorder="1" applyAlignment="1">
      <alignment horizontal="center" vertical="top"/>
    </xf>
    <xf numFmtId="0" fontId="26" fillId="4" borderId="24" xfId="0" applyFont="1" applyFill="1" applyBorder="1" applyAlignment="1">
      <alignment horizontal="left" vertical="center" wrapText="1"/>
    </xf>
    <xf numFmtId="0" fontId="9" fillId="4" borderId="25" xfId="0" applyFont="1" applyFill="1" applyBorder="1" applyAlignment="1">
      <alignment horizontal="center"/>
    </xf>
    <xf numFmtId="0" fontId="9" fillId="4" borderId="26" xfId="0" applyFont="1" applyFill="1" applyBorder="1" applyAlignment="1">
      <alignment horizontal="center"/>
    </xf>
    <xf numFmtId="0" fontId="9" fillId="4" borderId="27" xfId="0" applyFont="1" applyFill="1" applyBorder="1" applyAlignment="1">
      <alignment horizontal="center"/>
    </xf>
    <xf numFmtId="0" fontId="22" fillId="4" borderId="28" xfId="0" applyFont="1" applyFill="1" applyBorder="1" applyAlignment="1">
      <alignment horizontal="center" vertical="top"/>
    </xf>
    <xf numFmtId="0" fontId="22" fillId="4" borderId="0" xfId="0" applyFont="1" applyFill="1" applyAlignment="1">
      <alignment horizontal="center" vertical="top"/>
    </xf>
    <xf numFmtId="0" fontId="24" fillId="4" borderId="29" xfId="0" applyFont="1" applyFill="1" applyBorder="1" applyAlignment="1">
      <alignment horizontal="center" vertical="top"/>
    </xf>
    <xf numFmtId="0" fontId="9" fillId="4" borderId="28" xfId="0" applyFont="1" applyFill="1" applyBorder="1" applyAlignment="1">
      <alignment horizontal="center"/>
    </xf>
    <xf numFmtId="0" fontId="9" fillId="4" borderId="0" xfId="0" applyFont="1" applyFill="1" applyAlignment="1">
      <alignment horizontal="center"/>
    </xf>
    <xf numFmtId="0" fontId="9" fillId="4" borderId="29" xfId="0" applyFont="1" applyFill="1" applyBorder="1" applyAlignment="1">
      <alignment horizontal="center"/>
    </xf>
    <xf numFmtId="0" fontId="24" fillId="4" borderId="30" xfId="0" applyFont="1" applyFill="1" applyBorder="1" applyAlignment="1">
      <alignment horizontal="center" vertical="top"/>
    </xf>
    <xf numFmtId="0" fontId="22" fillId="4" borderId="31" xfId="0" applyFont="1" applyFill="1" applyBorder="1" applyAlignment="1">
      <alignment horizontal="center" vertical="top"/>
    </xf>
    <xf numFmtId="0" fontId="22" fillId="4" borderId="32" xfId="0" applyFont="1" applyFill="1" applyBorder="1" applyAlignment="1">
      <alignment horizontal="center" vertical="top"/>
    </xf>
    <xf numFmtId="0" fontId="24" fillId="0" borderId="0" xfId="0" applyFont="1" applyAlignment="1">
      <alignment horizontal="left" vertical="center" wrapText="1"/>
    </xf>
    <xf numFmtId="0" fontId="35" fillId="0" borderId="2" xfId="0" applyFont="1" applyBorder="1" applyAlignment="1">
      <alignment horizontal="left"/>
    </xf>
    <xf numFmtId="0" fontId="37" fillId="0" borderId="0" xfId="0" applyFont="1" applyAlignment="1">
      <alignment horizontal="left" vertical="center" wrapText="1"/>
    </xf>
    <xf numFmtId="164" fontId="9" fillId="4" borderId="26" xfId="0" applyNumberFormat="1" applyFont="1" applyFill="1" applyBorder="1" applyAlignment="1">
      <alignment horizontal="center"/>
    </xf>
    <xf numFmtId="0" fontId="24" fillId="4" borderId="28" xfId="0" applyFont="1" applyFill="1" applyBorder="1" applyAlignment="1">
      <alignment horizontal="center" vertical="top"/>
    </xf>
    <xf numFmtId="0" fontId="8" fillId="5" borderId="18" xfId="0" applyFont="1" applyFill="1" applyBorder="1" applyAlignment="1">
      <alignment horizontal="left" vertical="center"/>
    </xf>
    <xf numFmtId="0" fontId="39" fillId="0" borderId="0" xfId="0" applyFont="1" applyAlignment="1">
      <alignment horizontal="left" vertical="center" wrapText="1"/>
    </xf>
    <xf numFmtId="0" fontId="8" fillId="4" borderId="21" xfId="0" applyFont="1" applyFill="1" applyBorder="1" applyAlignment="1">
      <alignment horizontal="left" vertical="center"/>
    </xf>
    <xf numFmtId="0" fontId="23" fillId="0" borderId="22" xfId="0" applyFont="1" applyBorder="1" applyAlignment="1">
      <alignment horizontal="left" vertical="center" wrapText="1"/>
    </xf>
    <xf numFmtId="0" fontId="8" fillId="4" borderId="22" xfId="0" applyFont="1" applyFill="1" applyBorder="1" applyAlignment="1">
      <alignment horizontal="left" vertical="center"/>
    </xf>
    <xf numFmtId="0" fontId="23" fillId="0" borderId="23" xfId="0" applyFont="1" applyBorder="1" applyAlignment="1">
      <alignment horizontal="left" vertical="center" wrapText="1"/>
    </xf>
    <xf numFmtId="0" fontId="8" fillId="0" borderId="40" xfId="0" applyFont="1" applyBorder="1" applyAlignment="1">
      <alignment horizontal="left" vertical="center"/>
    </xf>
    <xf numFmtId="0" fontId="16" fillId="0" borderId="9" xfId="0" applyFont="1" applyBorder="1" applyAlignment="1">
      <alignment horizontal="left" vertical="center"/>
    </xf>
    <xf numFmtId="0" fontId="16" fillId="0" borderId="13" xfId="0" applyFont="1" applyBorder="1" applyAlignment="1">
      <alignment horizontal="left" vertical="center"/>
    </xf>
    <xf numFmtId="0" fontId="14" fillId="0" borderId="13" xfId="0" applyFont="1" applyBorder="1" applyAlignment="1">
      <alignment horizontal="left" vertical="center"/>
    </xf>
    <xf numFmtId="165" fontId="14" fillId="5" borderId="27" xfId="0" applyNumberFormat="1" applyFont="1" applyFill="1" applyBorder="1" applyAlignment="1">
      <alignment horizontal="left" vertical="center"/>
    </xf>
    <xf numFmtId="0" fontId="11" fillId="8" borderId="21" xfId="0" applyFont="1" applyFill="1" applyBorder="1" applyAlignment="1">
      <alignment horizontal="left" vertical="center"/>
    </xf>
    <xf numFmtId="0" fontId="22" fillId="8" borderId="22" xfId="0" applyFont="1" applyFill="1" applyBorder="1" applyAlignment="1">
      <alignment horizontal="left" vertical="center"/>
    </xf>
    <xf numFmtId="0" fontId="8" fillId="9" borderId="22" xfId="0" applyFont="1" applyFill="1" applyBorder="1" applyAlignment="1">
      <alignment horizontal="left"/>
    </xf>
    <xf numFmtId="0" fontId="37" fillId="9" borderId="23" xfId="0" applyFont="1" applyFill="1" applyBorder="1" applyAlignment="1">
      <alignment horizontal="left" vertical="top"/>
    </xf>
    <xf numFmtId="0" fontId="14" fillId="0" borderId="0" xfId="0" applyFont="1" applyAlignment="1">
      <alignment horizontal="center" vertical="center"/>
    </xf>
    <xf numFmtId="0" fontId="41" fillId="0" borderId="0" xfId="0" applyFont="1" applyAlignment="1">
      <alignment horizontal="center" vertical="center" wrapText="1"/>
    </xf>
    <xf numFmtId="0" fontId="42" fillId="0" borderId="0" xfId="0" applyFont="1" applyAlignment="1">
      <alignment horizontal="center" vertical="center"/>
    </xf>
    <xf numFmtId="0" fontId="43" fillId="0" borderId="0" xfId="0" applyFont="1" applyAlignment="1">
      <alignment horizontal="center" vertical="center" wrapText="1"/>
    </xf>
    <xf numFmtId="0" fontId="44" fillId="0" borderId="0" xfId="0" applyFont="1" applyAlignment="1">
      <alignment horizontal="center" vertical="top"/>
    </xf>
    <xf numFmtId="0" fontId="46" fillId="0" borderId="0" xfId="0" applyFont="1" applyAlignment="1">
      <alignment horizontal="center" vertical="top"/>
    </xf>
    <xf numFmtId="0" fontId="24" fillId="0" borderId="0" xfId="0" applyFont="1" applyAlignment="1">
      <alignment horizontal="center" vertical="center"/>
    </xf>
    <xf numFmtId="0" fontId="48" fillId="0" borderId="0" xfId="0" applyFont="1" applyAlignment="1">
      <alignment horizontal="center" vertical="center"/>
    </xf>
  </cellXfs>
  <cellStyles count="1">
    <cellStyle name="Normal" xfId="0" builtinId="0"/>
  </cellStyles>
  <dxfs count="8">
    <dxf>
      <fill>
        <patternFill>
          <bgColor rgb="FFF6F8FB"/>
        </patternFill>
      </fill>
    </dxf>
    <dxf>
      <font>
        <b/>
        <sz val="11"/>
        <color rgb="FF13315C"/>
        <name val="Noto Sans KR"/>
        <charset val="1"/>
      </font>
      <fill>
        <patternFill>
          <bgColor rgb="FFEAF0F4"/>
        </patternFill>
      </fill>
    </dxf>
    <dxf>
      <fill>
        <patternFill>
          <bgColor rgb="FFEEF2F7"/>
        </patternFill>
      </fill>
    </dxf>
    <dxf>
      <font>
        <b/>
        <sz val="9"/>
        <color rgb="FF13315C"/>
        <name val="Noto Sans KR"/>
        <charset val="1"/>
      </font>
      <fill>
        <patternFill>
          <bgColor rgb="FFEAF0F4"/>
        </patternFill>
      </fill>
    </dxf>
    <dxf>
      <font>
        <b/>
        <sz val="9"/>
        <color rgb="FF13315C"/>
        <name val="Noto Sans KR"/>
        <charset val="1"/>
      </font>
    </dxf>
    <dxf>
      <fill>
        <patternFill>
          <bgColor rgb="FFEEF2F7"/>
        </patternFill>
      </fill>
    </dxf>
    <dxf>
      <fill>
        <patternFill>
          <bgColor rgb="FFEAF0F4"/>
        </patternFill>
      </fill>
    </dxf>
    <dxf>
      <font>
        <b/>
        <sz val="12"/>
        <color rgb="FF13315C"/>
        <name val="Noto Sans KR"/>
        <charset val="1"/>
      </font>
      <fill>
        <patternFill>
          <bgColor rgb="FFEAF0F4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1C3252"/>
      <rgbColor rgb="FF808000"/>
      <rgbColor rgb="FF800080"/>
      <rgbColor rgb="FF008080"/>
      <rgbColor rgb="FFD9D9D9"/>
      <rgbColor rgb="FF636363"/>
      <rgbColor rgb="FF9999FF"/>
      <rgbColor rgb="FF993366"/>
      <rgbColor rgb="FFF7F7F7"/>
      <rgbColor rgb="FFEAF0F4"/>
      <rgbColor rgb="FF660066"/>
      <rgbColor rgb="FFC98F8B"/>
      <rgbColor rgb="FF0066CC"/>
      <rgbColor rgb="FFC4CED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2F7"/>
      <rgbColor rgb="FFE8E8E8"/>
      <rgbColor rgb="FFFBFBFC"/>
      <rgbColor rgb="FFD3DEEC"/>
      <rgbColor rgb="FFF6F8FB"/>
      <rgbColor rgb="FFD6DBE0"/>
      <rgbColor rgb="FFF4C9C6"/>
      <rgbColor rgb="FF3366FF"/>
      <rgbColor rgb="FF33CCCC"/>
      <rgbColor rgb="FF99CC00"/>
      <rgbColor rgb="FFFFCC00"/>
      <rgbColor rgb="FFFF9900"/>
      <rgbColor rgb="FFFF6600"/>
      <rgbColor rgb="FF5B6B7E"/>
      <rgbColor rgb="FF9AA8B6"/>
      <rgbColor rgb="FF13315C"/>
      <rgbColor rgb="FF339966"/>
      <rgbColor rgb="FF13223A"/>
      <rgbColor rgb="FF1A2433"/>
      <rgbColor rgb="FF993300"/>
      <rgbColor rgb="FF993366"/>
      <rgbColor rgb="FF2C4A6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1543020</xdr:colOff>
      <xdr:row>227</xdr:row>
      <xdr:rowOff>335660</xdr:rowOff>
    </xdr:from>
    <xdr:to>
      <xdr:col>11</xdr:col>
      <xdr:colOff>48660</xdr:colOff>
      <xdr:row>232</xdr:row>
      <xdr:rowOff>192480</xdr:rowOff>
    </xdr:to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2439620" y="67632960"/>
          <a:ext cx="1896540" cy="16094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</xdr:row>
      <xdr:rowOff>160560</xdr:rowOff>
    </xdr:from>
    <xdr:to>
      <xdr:col>1</xdr:col>
      <xdr:colOff>266040</xdr:colOff>
      <xdr:row>2</xdr:row>
      <xdr:rowOff>129960</xdr:rowOff>
    </xdr:to>
    <xdr:pic>
      <xdr:nvPicPr>
        <xdr:cNvPr id="3" name="image2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664920" y="379800"/>
          <a:ext cx="266040" cy="18828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3223A"/>
    <pageSetUpPr fitToPage="1"/>
  </sheetPr>
  <dimension ref="A1:Z1007"/>
  <sheetViews>
    <sheetView showGridLines="0" tabSelected="1" topLeftCell="A213" zoomScaleNormal="100" workbookViewId="0">
      <selection activeCell="M228" sqref="M228"/>
    </sheetView>
  </sheetViews>
  <sheetFormatPr baseColWidth="10" defaultColWidth="14.5" defaultRowHeight="15"/>
  <cols>
    <col min="1" max="1" width="9.5" customWidth="1"/>
    <col min="2" max="2" width="8.5" customWidth="1"/>
    <col min="3" max="3" width="13" customWidth="1"/>
    <col min="4" max="4" width="17.5" customWidth="1"/>
    <col min="5" max="5" width="13.5" customWidth="1"/>
    <col min="6" max="6" width="19" customWidth="1"/>
    <col min="7" max="7" width="17" customWidth="1"/>
    <col min="8" max="8" width="26" customWidth="1"/>
    <col min="9" max="9" width="19" customWidth="1"/>
    <col min="10" max="10" width="29" customWidth="1"/>
    <col min="11" max="11" width="15.5" customWidth="1"/>
    <col min="12" max="12" width="22" customWidth="1"/>
    <col min="13" max="13" width="11.5" customWidth="1"/>
    <col min="14" max="26" width="8.6640625" customWidth="1"/>
  </cols>
  <sheetData>
    <row r="1" spans="1:26" ht="17.25" customHeight="1">
      <c r="A1" s="15"/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spans="1:26" ht="17.25" customHeight="1">
      <c r="A2" s="15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spans="1:26" ht="17.25" customHeight="1">
      <c r="A3" s="15"/>
      <c r="B3" s="14"/>
      <c r="C3" s="14"/>
      <c r="D3" s="14"/>
      <c r="E3" s="13" t="s">
        <v>0</v>
      </c>
      <c r="F3" s="13"/>
      <c r="G3" s="13"/>
      <c r="H3" s="13"/>
      <c r="I3" s="13"/>
      <c r="J3" s="13"/>
      <c r="K3" s="13"/>
      <c r="L3" s="13"/>
      <c r="M3" s="13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spans="1:26" ht="36" customHeight="1">
      <c r="A4" s="15"/>
      <c r="B4" s="14"/>
      <c r="C4" s="14"/>
      <c r="D4" s="14"/>
      <c r="E4" s="12" t="s">
        <v>1</v>
      </c>
      <c r="F4" s="12"/>
      <c r="G4" s="12"/>
      <c r="H4" s="12"/>
      <c r="I4" s="12"/>
      <c r="J4" s="12"/>
      <c r="K4" s="12"/>
      <c r="L4" s="12"/>
      <c r="M4" s="12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spans="1:26" ht="21" customHeight="1">
      <c r="A5" s="15"/>
      <c r="B5" s="14"/>
      <c r="C5" s="14"/>
      <c r="D5" s="14"/>
      <c r="E5" s="11" t="s">
        <v>2</v>
      </c>
      <c r="F5" s="11"/>
      <c r="G5" s="11"/>
      <c r="H5" s="11"/>
      <c r="I5" s="11"/>
      <c r="J5" s="11"/>
      <c r="K5" s="11"/>
      <c r="L5" s="11"/>
      <c r="M5" s="11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 spans="1:26" ht="17.25" customHeight="1">
      <c r="A6" s="15"/>
      <c r="B6" s="14"/>
      <c r="C6" s="14"/>
      <c r="D6" s="14"/>
      <c r="E6" s="10" t="s">
        <v>3</v>
      </c>
      <c r="F6" s="10"/>
      <c r="G6" s="10"/>
      <c r="H6" s="10"/>
      <c r="I6" s="10"/>
      <c r="J6" s="10"/>
      <c r="K6" s="10"/>
      <c r="L6" s="10"/>
      <c r="M6" s="10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 spans="1:26" ht="17.25" customHeight="1">
      <c r="A7" s="15"/>
      <c r="B7" s="14"/>
      <c r="C7" s="14"/>
      <c r="D7" s="14"/>
      <c r="E7" s="17"/>
      <c r="F7" s="17"/>
      <c r="G7" s="17"/>
      <c r="H7" s="17"/>
      <c r="I7" s="17"/>
      <c r="J7" s="17"/>
      <c r="K7" s="17"/>
      <c r="L7" s="17"/>
      <c r="M7" s="17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 spans="1:26" ht="17.25" customHeight="1">
      <c r="A8" s="15"/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 spans="1:26" ht="17.25" customHeight="1">
      <c r="A9" s="15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 spans="1:26" ht="17.25" customHeight="1">
      <c r="A10" s="15"/>
      <c r="B10" s="9" t="s">
        <v>4</v>
      </c>
      <c r="C10" s="9"/>
      <c r="D10" s="9"/>
      <c r="E10" s="9"/>
      <c r="F10" s="9" t="s">
        <v>5</v>
      </c>
      <c r="G10" s="9"/>
      <c r="H10" s="9"/>
      <c r="I10" s="9"/>
      <c r="J10" s="9" t="s">
        <v>6</v>
      </c>
      <c r="K10" s="9"/>
      <c r="L10" s="9"/>
      <c r="M10" s="9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 spans="1:26" ht="21" customHeight="1">
      <c r="A11" s="15"/>
      <c r="B11" s="8" t="s">
        <v>7</v>
      </c>
      <c r="C11" s="8"/>
      <c r="D11" s="8"/>
      <c r="E11" s="8"/>
      <c r="F11" s="7" t="s">
        <v>8</v>
      </c>
      <c r="G11" s="7"/>
      <c r="H11" s="7"/>
      <c r="I11" s="7"/>
      <c r="J11" s="6" t="s">
        <v>9</v>
      </c>
      <c r="K11" s="6"/>
      <c r="L11" s="6"/>
      <c r="M11" s="6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spans="1:26" ht="17.25" customHeight="1">
      <c r="A12" s="15"/>
      <c r="B12" s="9" t="s">
        <v>10</v>
      </c>
      <c r="C12" s="9"/>
      <c r="D12" s="9"/>
      <c r="E12" s="9"/>
      <c r="F12" s="9" t="s">
        <v>11</v>
      </c>
      <c r="G12" s="9"/>
      <c r="H12" s="9"/>
      <c r="I12" s="9"/>
      <c r="J12" s="9" t="s">
        <v>12</v>
      </c>
      <c r="K12" s="9"/>
      <c r="L12" s="9"/>
      <c r="M12" s="9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 spans="1:26" ht="21" customHeight="1">
      <c r="A13" s="15"/>
      <c r="B13" s="5" t="s">
        <v>13</v>
      </c>
      <c r="C13" s="5"/>
      <c r="D13" s="5"/>
      <c r="E13" s="5"/>
      <c r="F13" s="4" t="s">
        <v>14</v>
      </c>
      <c r="G13" s="4"/>
      <c r="H13" s="4"/>
      <c r="I13" s="4"/>
      <c r="J13" s="5" t="s">
        <v>15</v>
      </c>
      <c r="K13" s="5"/>
      <c r="L13" s="5"/>
      <c r="M13" s="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 spans="1:26" ht="17.25" customHeight="1">
      <c r="A14" s="15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 spans="1:26" ht="17.25" customHeight="1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 spans="1:26" ht="75" customHeight="1">
      <c r="A16" s="15"/>
      <c r="B16" s="3" t="s">
        <v>16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 spans="1:26" ht="17.25" customHeight="1">
      <c r="A17" s="15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spans="1:26" ht="17.25" customHeight="1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 spans="1:26" ht="17.25" customHeight="1">
      <c r="A19" s="15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 spans="1:26" ht="17.25" customHeight="1">
      <c r="A20" s="15"/>
      <c r="B20" s="2" t="s">
        <v>17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spans="1:26" ht="17.25" customHeight="1">
      <c r="A21" s="15"/>
      <c r="B21" s="1" t="s">
        <v>18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spans="1:26" ht="17.25" customHeight="1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 spans="1:26" ht="21" customHeight="1">
      <c r="A23" s="15"/>
      <c r="B23" s="49" t="s">
        <v>19</v>
      </c>
      <c r="C23" s="49"/>
      <c r="D23" s="49"/>
      <c r="E23" s="50" t="s">
        <v>20</v>
      </c>
      <c r="F23" s="50"/>
      <c r="G23" s="50"/>
      <c r="H23" s="50"/>
      <c r="I23" s="50"/>
      <c r="J23" s="50"/>
      <c r="K23" s="50"/>
      <c r="L23" s="50"/>
      <c r="M23" s="50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 spans="1:26" ht="17.25" customHeight="1">
      <c r="A24" s="15"/>
      <c r="B24" s="51" t="s">
        <v>21</v>
      </c>
      <c r="C24" s="51"/>
      <c r="D24" s="51"/>
      <c r="E24" s="52" t="s">
        <v>22</v>
      </c>
      <c r="F24" s="52"/>
      <c r="G24" s="52"/>
      <c r="H24" s="52"/>
      <c r="I24" s="52"/>
      <c r="J24" s="52"/>
      <c r="K24" s="52"/>
      <c r="L24" s="52"/>
      <c r="M24" s="52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spans="1:26" ht="21" customHeight="1">
      <c r="A25" s="15"/>
      <c r="B25" s="51" t="s">
        <v>23</v>
      </c>
      <c r="C25" s="51"/>
      <c r="D25" s="51"/>
      <c r="E25" s="52" t="s">
        <v>24</v>
      </c>
      <c r="F25" s="52"/>
      <c r="G25" s="52"/>
      <c r="H25" s="52"/>
      <c r="I25" s="52"/>
      <c r="J25" s="52"/>
      <c r="K25" s="52"/>
      <c r="L25" s="52"/>
      <c r="M25" s="52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spans="1:26" ht="17.25" customHeight="1">
      <c r="A26" s="15"/>
      <c r="B26" s="51" t="s">
        <v>25</v>
      </c>
      <c r="C26" s="51"/>
      <c r="D26" s="51"/>
      <c r="E26" s="53" t="s">
        <v>26</v>
      </c>
      <c r="F26" s="53"/>
      <c r="G26" s="53"/>
      <c r="H26" s="53"/>
      <c r="I26" s="53"/>
      <c r="J26" s="53"/>
      <c r="K26" s="53"/>
      <c r="L26" s="53"/>
      <c r="M26" s="53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 spans="1:26" ht="21" customHeight="1">
      <c r="A27" s="15"/>
      <c r="B27" s="54" t="s">
        <v>27</v>
      </c>
      <c r="C27" s="54"/>
      <c r="D27" s="54"/>
      <c r="E27" s="53" t="s">
        <v>28</v>
      </c>
      <c r="F27" s="53"/>
      <c r="G27" s="53"/>
      <c r="H27" s="53"/>
      <c r="I27" s="53"/>
      <c r="J27" s="53"/>
      <c r="K27" s="53"/>
      <c r="L27" s="53"/>
      <c r="M27" s="53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spans="1:26" ht="21" customHeight="1">
      <c r="A28" s="15"/>
      <c r="B28" s="51" t="s">
        <v>29</v>
      </c>
      <c r="C28" s="51"/>
      <c r="D28" s="51"/>
      <c r="E28" s="55" t="s">
        <v>13</v>
      </c>
      <c r="F28" s="55"/>
      <c r="G28" s="55"/>
      <c r="H28" s="55"/>
      <c r="I28" s="55"/>
      <c r="J28" s="55"/>
      <c r="K28" s="55"/>
      <c r="L28" s="55"/>
      <c r="M28" s="5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spans="1:26" ht="21" customHeight="1">
      <c r="A29" s="15"/>
      <c r="B29" s="51" t="s">
        <v>30</v>
      </c>
      <c r="C29" s="51"/>
      <c r="D29" s="51"/>
      <c r="E29" s="53" t="s">
        <v>31</v>
      </c>
      <c r="F29" s="53"/>
      <c r="G29" s="53"/>
      <c r="H29" s="53"/>
      <c r="I29" s="53"/>
      <c r="J29" s="53"/>
      <c r="K29" s="53"/>
      <c r="L29" s="53"/>
      <c r="M29" s="53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spans="1:26" ht="113.25" customHeight="1">
      <c r="A30" s="15"/>
      <c r="B30" s="51" t="s">
        <v>32</v>
      </c>
      <c r="C30" s="51"/>
      <c r="D30" s="51"/>
      <c r="E30" s="56" t="s">
        <v>33</v>
      </c>
      <c r="F30" s="56"/>
      <c r="G30" s="56"/>
      <c r="H30" s="56"/>
      <c r="I30" s="56"/>
      <c r="J30" s="56"/>
      <c r="K30" s="56"/>
      <c r="L30" s="56"/>
      <c r="M30" s="56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spans="1:26" ht="21" customHeight="1">
      <c r="A31" s="15"/>
      <c r="B31" s="51" t="s">
        <v>34</v>
      </c>
      <c r="C31" s="51"/>
      <c r="D31" s="51"/>
      <c r="E31" s="57" t="s">
        <v>35</v>
      </c>
      <c r="F31" s="57"/>
      <c r="G31" s="57"/>
      <c r="H31" s="57"/>
      <c r="I31" s="57"/>
      <c r="J31" s="57"/>
      <c r="K31" s="57"/>
      <c r="L31" s="57"/>
      <c r="M31" s="57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 spans="1:26" ht="199.5" customHeight="1">
      <c r="A32" s="15"/>
      <c r="B32" s="51" t="s">
        <v>36</v>
      </c>
      <c r="C32" s="51"/>
      <c r="D32" s="51"/>
      <c r="E32" s="56" t="s">
        <v>37</v>
      </c>
      <c r="F32" s="56"/>
      <c r="G32" s="56"/>
      <c r="H32" s="56"/>
      <c r="I32" s="56"/>
      <c r="J32" s="56"/>
      <c r="K32" s="56"/>
      <c r="L32" s="56"/>
      <c r="M32" s="56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spans="1:26" ht="117" customHeight="1">
      <c r="A33" s="15"/>
      <c r="B33" s="58" t="s">
        <v>38</v>
      </c>
      <c r="C33" s="58"/>
      <c r="D33" s="58"/>
      <c r="E33" s="59" t="s">
        <v>39</v>
      </c>
      <c r="F33" s="59"/>
      <c r="G33" s="59"/>
      <c r="H33" s="59"/>
      <c r="I33" s="59"/>
      <c r="J33" s="59"/>
      <c r="K33" s="59"/>
      <c r="L33" s="59"/>
      <c r="M33" s="59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spans="1:26" ht="45" customHeight="1">
      <c r="A34" s="15"/>
      <c r="B34" s="60" t="s">
        <v>40</v>
      </c>
      <c r="C34" s="60"/>
      <c r="D34" s="60"/>
      <c r="E34" s="60"/>
      <c r="F34" s="60"/>
      <c r="G34" s="60"/>
      <c r="H34" s="60"/>
      <c r="I34" s="60"/>
      <c r="J34" s="60"/>
      <c r="K34" s="60"/>
      <c r="L34" s="60"/>
      <c r="M34" s="60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 spans="1:26" ht="15" customHeight="1">
      <c r="A35" s="15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spans="1:26" ht="15" customHeight="1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 spans="1:26" ht="15" customHeight="1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spans="1:26" ht="24" customHeight="1">
      <c r="A38" s="15"/>
      <c r="B38" s="61" t="s">
        <v>41</v>
      </c>
      <c r="C38" s="61"/>
      <c r="D38" s="61"/>
      <c r="E38" s="61"/>
      <c r="F38" s="61"/>
      <c r="G38" s="61"/>
      <c r="H38" s="61"/>
      <c r="I38" s="61"/>
      <c r="J38" s="61"/>
      <c r="K38" s="61"/>
      <c r="L38" s="61"/>
      <c r="M38" s="61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spans="1:26" ht="17.25" customHeight="1">
      <c r="A39" s="15"/>
      <c r="B39" s="1" t="s">
        <v>42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 spans="1:26" ht="17.25" customHeight="1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 spans="1:26" ht="17.25" customHeight="1">
      <c r="A41" s="15"/>
      <c r="B41" s="62" t="s">
        <v>43</v>
      </c>
      <c r="C41" s="62"/>
      <c r="D41" s="62"/>
      <c r="E41" s="62"/>
      <c r="F41" s="62"/>
      <c r="G41" s="62"/>
      <c r="H41" s="62"/>
      <c r="I41" s="62"/>
      <c r="J41" s="62"/>
      <c r="K41" s="62"/>
      <c r="L41" s="62"/>
      <c r="M41" s="62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 spans="1:26" ht="17.25" customHeight="1">
      <c r="A42" s="15"/>
      <c r="B42" s="63" t="s">
        <v>44</v>
      </c>
      <c r="C42" s="63"/>
      <c r="D42" s="63"/>
      <c r="E42" s="63"/>
      <c r="F42" s="63"/>
      <c r="G42" s="63"/>
      <c r="H42" s="63"/>
      <c r="I42" s="63"/>
      <c r="J42" s="63"/>
      <c r="K42" s="63"/>
      <c r="L42" s="63"/>
      <c r="M42" s="63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 spans="1:26" ht="30.75" customHeight="1">
      <c r="A43" s="15"/>
      <c r="B43" s="64" t="s">
        <v>45</v>
      </c>
      <c r="C43" s="64"/>
      <c r="D43" s="64"/>
      <c r="E43" s="64"/>
      <c r="F43" s="64"/>
      <c r="G43" s="64"/>
      <c r="H43" s="64"/>
      <c r="I43" s="64"/>
      <c r="J43" s="64"/>
      <c r="K43" s="64"/>
      <c r="L43" s="64"/>
      <c r="M43" s="64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 spans="1:26" ht="51.75" customHeight="1">
      <c r="A44" s="15"/>
      <c r="B44" s="65"/>
      <c r="C44" s="65"/>
      <c r="D44" s="65"/>
      <c r="E44" s="65"/>
      <c r="F44" s="65"/>
      <c r="G44" s="65"/>
      <c r="H44" s="65"/>
      <c r="I44" s="65"/>
      <c r="J44" s="65"/>
      <c r="K44" s="65"/>
      <c r="L44" s="65"/>
      <c r="M44" s="6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 spans="1:26" ht="17.25" customHeight="1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 spans="1:26" ht="21" customHeight="1">
      <c r="A46" s="15"/>
      <c r="B46" s="66" t="s">
        <v>46</v>
      </c>
      <c r="C46" s="66"/>
      <c r="D46" s="66"/>
      <c r="E46" s="67"/>
      <c r="F46" s="67"/>
      <c r="G46" s="67"/>
      <c r="H46" s="67"/>
      <c r="I46" s="66" t="s">
        <v>47</v>
      </c>
      <c r="J46" s="66"/>
      <c r="K46" s="67"/>
      <c r="L46" s="67"/>
      <c r="M46" s="67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 spans="1:26" ht="45" customHeight="1">
      <c r="A47" s="15"/>
      <c r="B47" s="64" t="s">
        <v>48</v>
      </c>
      <c r="C47" s="64"/>
      <c r="D47" s="64"/>
      <c r="E47" s="64"/>
      <c r="F47" s="64"/>
      <c r="G47" s="64"/>
      <c r="H47" s="64"/>
      <c r="I47" s="64"/>
      <c r="J47" s="64"/>
      <c r="K47" s="64"/>
      <c r="L47" s="64"/>
      <c r="M47" s="64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 spans="1:26" ht="17.25" customHeight="1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 spans="1:26" ht="24" customHeight="1">
      <c r="A49" s="15"/>
      <c r="B49" s="63" t="s">
        <v>49</v>
      </c>
      <c r="C49" s="63"/>
      <c r="D49" s="63"/>
      <c r="E49" s="63"/>
      <c r="F49" s="63"/>
      <c r="G49" s="63"/>
      <c r="H49" s="63"/>
      <c r="I49" s="63"/>
      <c r="J49" s="63"/>
      <c r="K49" s="63"/>
      <c r="L49" s="63"/>
      <c r="M49" s="63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 spans="1:26" ht="33.75" customHeight="1">
      <c r="A50" s="15"/>
      <c r="B50" s="64" t="s">
        <v>50</v>
      </c>
      <c r="C50" s="64"/>
      <c r="D50" s="64"/>
      <c r="E50" s="64"/>
      <c r="F50" s="64"/>
      <c r="G50" s="64"/>
      <c r="H50" s="64"/>
      <c r="I50" s="64"/>
      <c r="J50" s="64"/>
      <c r="K50" s="64"/>
      <c r="L50" s="64"/>
      <c r="M50" s="64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 spans="1:26" ht="17.25" customHeight="1">
      <c r="A51" s="15"/>
      <c r="B51" s="68"/>
      <c r="C51" s="68"/>
      <c r="D51" s="68"/>
      <c r="E51" s="68"/>
      <c r="F51" s="68"/>
      <c r="G51" s="68"/>
      <c r="H51" s="68"/>
      <c r="I51" s="68"/>
      <c r="J51" s="68"/>
      <c r="K51" s="68"/>
      <c r="L51" s="68"/>
      <c r="M51" s="68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 spans="1:26" ht="17.25" customHeight="1">
      <c r="A52" s="15"/>
      <c r="B52" s="68"/>
      <c r="C52" s="68"/>
      <c r="D52" s="68"/>
      <c r="E52" s="68"/>
      <c r="F52" s="68"/>
      <c r="G52" s="68"/>
      <c r="H52" s="68"/>
      <c r="I52" s="68"/>
      <c r="J52" s="68"/>
      <c r="K52" s="68"/>
      <c r="L52" s="68"/>
      <c r="M52" s="68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 spans="1:26" ht="17.25" customHeight="1">
      <c r="A53" s="15"/>
      <c r="B53" s="68"/>
      <c r="C53" s="68"/>
      <c r="D53" s="68"/>
      <c r="E53" s="68"/>
      <c r="F53" s="68"/>
      <c r="G53" s="68"/>
      <c r="H53" s="68"/>
      <c r="I53" s="68"/>
      <c r="J53" s="68"/>
      <c r="K53" s="68"/>
      <c r="L53" s="68"/>
      <c r="M53" s="68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 spans="1:26" ht="17.25" customHeight="1">
      <c r="A54" s="15"/>
      <c r="B54" s="68"/>
      <c r="C54" s="68"/>
      <c r="D54" s="68"/>
      <c r="E54" s="68"/>
      <c r="F54" s="68"/>
      <c r="G54" s="68"/>
      <c r="H54" s="68"/>
      <c r="I54" s="68"/>
      <c r="J54" s="68"/>
      <c r="K54" s="68"/>
      <c r="L54" s="68"/>
      <c r="M54" s="68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 spans="1:26" ht="17.25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 spans="1:26" ht="17.25" customHeight="1">
      <c r="A56" s="15"/>
      <c r="B56" s="63" t="s">
        <v>51</v>
      </c>
      <c r="C56" s="63"/>
      <c r="D56" s="63"/>
      <c r="E56" s="63"/>
      <c r="F56" s="63"/>
      <c r="G56" s="63"/>
      <c r="H56" s="63"/>
      <c r="I56" s="63"/>
      <c r="J56" s="63"/>
      <c r="K56" s="63"/>
      <c r="L56" s="63"/>
      <c r="M56" s="63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spans="1:26" ht="17.2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 spans="1:26" ht="21" customHeight="1">
      <c r="A58" s="15"/>
      <c r="B58" s="69" t="s">
        <v>52</v>
      </c>
      <c r="C58" s="69"/>
      <c r="D58" s="69"/>
      <c r="E58" s="70"/>
      <c r="F58" s="70"/>
      <c r="G58" s="70"/>
      <c r="H58" s="70"/>
      <c r="I58" s="69" t="s">
        <v>53</v>
      </c>
      <c r="J58" s="69"/>
      <c r="K58" s="70"/>
      <c r="L58" s="70"/>
      <c r="M58" s="70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 spans="1:26" ht="21" customHeight="1">
      <c r="A59" s="15"/>
      <c r="B59" s="66" t="s">
        <v>54</v>
      </c>
      <c r="C59" s="66"/>
      <c r="D59" s="66"/>
      <c r="E59" s="71"/>
      <c r="F59" s="71"/>
      <c r="G59" s="71"/>
      <c r="H59" s="71"/>
      <c r="I59" s="66" t="s">
        <v>55</v>
      </c>
      <c r="J59" s="66"/>
      <c r="K59" s="67"/>
      <c r="L59" s="67"/>
      <c r="M59" s="67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 spans="1:26" ht="21" customHeight="1">
      <c r="A60" s="15"/>
      <c r="B60" s="72" t="s">
        <v>56</v>
      </c>
      <c r="C60" s="72"/>
      <c r="D60" s="72"/>
      <c r="E60" s="73"/>
      <c r="F60" s="73"/>
      <c r="G60" s="73"/>
      <c r="H60" s="73"/>
      <c r="I60" s="72" t="s">
        <v>57</v>
      </c>
      <c r="J60" s="72"/>
      <c r="K60" s="73"/>
      <c r="L60" s="73"/>
      <c r="M60" s="73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 spans="1:26" ht="15" customHeight="1">
      <c r="A61" s="15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 spans="1:26" ht="15" customHeight="1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 spans="1:26" ht="15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 spans="1:26" ht="24" customHeight="1">
      <c r="A64" s="15"/>
      <c r="B64" s="61" t="s">
        <v>58</v>
      </c>
      <c r="C64" s="61"/>
      <c r="D64" s="61"/>
      <c r="E64" s="61"/>
      <c r="F64" s="61"/>
      <c r="G64" s="61"/>
      <c r="H64" s="61"/>
      <c r="I64" s="61"/>
      <c r="J64" s="61"/>
      <c r="K64" s="61"/>
      <c r="L64" s="61"/>
      <c r="M64" s="61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 spans="1:26" ht="17.25" customHeight="1">
      <c r="A65" s="15"/>
      <c r="B65" s="1" t="s">
        <v>59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 spans="1:26" ht="17.25" customHeight="1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spans="1:26" ht="17.25" customHeight="1">
      <c r="A67" s="15"/>
      <c r="B67" s="74" t="s">
        <v>60</v>
      </c>
      <c r="C67" s="74"/>
      <c r="D67" s="74"/>
      <c r="E67" s="74"/>
      <c r="F67" s="74"/>
      <c r="G67" s="74"/>
      <c r="H67" s="74"/>
      <c r="I67" s="74"/>
      <c r="J67" s="74"/>
      <c r="K67" s="74"/>
      <c r="L67" s="74"/>
      <c r="M67" s="74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spans="1:26" ht="26.25" customHeight="1">
      <c r="A68" s="15"/>
      <c r="B68" s="74"/>
      <c r="C68" s="74"/>
      <c r="D68" s="74"/>
      <c r="E68" s="74"/>
      <c r="F68" s="74"/>
      <c r="G68" s="74"/>
      <c r="H68" s="74"/>
      <c r="I68" s="74"/>
      <c r="J68" s="74"/>
      <c r="K68" s="74"/>
      <c r="L68" s="74"/>
      <c r="M68" s="74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spans="1:26" ht="17.25" customHeight="1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spans="1:26" ht="21" customHeight="1">
      <c r="A70" s="15"/>
      <c r="B70" s="69" t="s">
        <v>61</v>
      </c>
      <c r="C70" s="69"/>
      <c r="D70" s="69"/>
      <c r="E70" s="70"/>
      <c r="F70" s="70"/>
      <c r="G70" s="70"/>
      <c r="H70" s="70"/>
      <c r="I70" s="69" t="s">
        <v>62</v>
      </c>
      <c r="J70" s="69"/>
      <c r="K70" s="70"/>
      <c r="L70" s="70"/>
      <c r="M70" s="70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spans="1:26" ht="21" customHeight="1">
      <c r="A71" s="15"/>
      <c r="B71" s="66" t="s">
        <v>63</v>
      </c>
      <c r="C71" s="66"/>
      <c r="D71" s="66"/>
      <c r="E71" s="67"/>
      <c r="F71" s="67"/>
      <c r="G71" s="67"/>
      <c r="H71" s="67"/>
      <c r="I71" s="66" t="s">
        <v>64</v>
      </c>
      <c r="J71" s="66"/>
      <c r="K71" s="67"/>
      <c r="L71" s="67"/>
      <c r="M71" s="67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spans="1:26" ht="21" customHeight="1">
      <c r="A72" s="15"/>
      <c r="B72" s="66" t="s">
        <v>65</v>
      </c>
      <c r="C72" s="66"/>
      <c r="D72" s="66"/>
      <c r="E72" s="67"/>
      <c r="F72" s="67"/>
      <c r="G72" s="67"/>
      <c r="H72" s="67"/>
      <c r="I72" s="66" t="s">
        <v>66</v>
      </c>
      <c r="J72" s="66"/>
      <c r="K72" s="67"/>
      <c r="L72" s="67"/>
      <c r="M72" s="67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 spans="1:26" ht="21" customHeight="1">
      <c r="A73" s="15"/>
      <c r="B73" s="72" t="s">
        <v>67</v>
      </c>
      <c r="C73" s="72"/>
      <c r="D73" s="72"/>
      <c r="E73" s="75"/>
      <c r="F73" s="75"/>
      <c r="G73" s="75"/>
      <c r="H73" s="75"/>
      <c r="I73" s="75"/>
      <c r="J73" s="75"/>
      <c r="K73" s="75"/>
      <c r="L73" s="75"/>
      <c r="M73" s="7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 spans="1:26" ht="29.25" customHeight="1">
      <c r="A74" s="15"/>
      <c r="B74" s="64" t="s">
        <v>68</v>
      </c>
      <c r="C74" s="64"/>
      <c r="D74" s="64"/>
      <c r="E74" s="64"/>
      <c r="F74" s="64"/>
      <c r="G74" s="64"/>
      <c r="H74" s="64"/>
      <c r="I74" s="64"/>
      <c r="J74" s="64"/>
      <c r="K74" s="64"/>
      <c r="L74" s="64"/>
      <c r="M74" s="64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 spans="1:26" ht="15" customHeight="1">
      <c r="A75" s="15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 spans="1:26" ht="15" customHeight="1">
      <c r="A76" s="15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 spans="1:26" ht="18.75" customHeight="1">
      <c r="A77" s="15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 spans="1:26" ht="24" customHeight="1">
      <c r="A78" s="15"/>
      <c r="B78" s="61" t="s">
        <v>69</v>
      </c>
      <c r="C78" s="61"/>
      <c r="D78" s="61"/>
      <c r="E78" s="61"/>
      <c r="F78" s="61"/>
      <c r="G78" s="61"/>
      <c r="H78" s="61"/>
      <c r="I78" s="61"/>
      <c r="J78" s="61"/>
      <c r="K78" s="61"/>
      <c r="L78" s="61"/>
      <c r="M78" s="61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 spans="1:26" ht="17.25" customHeight="1">
      <c r="A79" s="15"/>
      <c r="B79" s="1" t="s">
        <v>70</v>
      </c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 spans="1:26" ht="39" customHeight="1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 spans="1:26" ht="17.25" customHeight="1">
      <c r="A81" s="15"/>
      <c r="B81" s="76" t="s">
        <v>71</v>
      </c>
      <c r="C81" s="76"/>
      <c r="D81" s="76"/>
      <c r="E81" s="76"/>
      <c r="F81" s="76"/>
      <c r="G81" s="76"/>
      <c r="H81" s="76"/>
      <c r="I81" s="76"/>
      <c r="J81" s="76"/>
      <c r="K81" s="76"/>
      <c r="L81" s="76"/>
      <c r="M81" s="76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 spans="1:26" ht="204.75" customHeight="1">
      <c r="A82" s="15"/>
      <c r="B82" s="76"/>
      <c r="C82" s="76"/>
      <c r="D82" s="76"/>
      <c r="E82" s="76"/>
      <c r="F82" s="76"/>
      <c r="G82" s="76"/>
      <c r="H82" s="76"/>
      <c r="I82" s="76"/>
      <c r="J82" s="76"/>
      <c r="K82" s="76"/>
      <c r="L82" s="76"/>
      <c r="M82" s="76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 spans="1:26" ht="1.5" customHeight="1">
      <c r="A83" s="15"/>
      <c r="B83" s="76"/>
      <c r="C83" s="76"/>
      <c r="D83" s="76"/>
      <c r="E83" s="76"/>
      <c r="F83" s="76"/>
      <c r="G83" s="76"/>
      <c r="H83" s="76"/>
      <c r="I83" s="76"/>
      <c r="J83" s="76"/>
      <c r="K83" s="76"/>
      <c r="L83" s="76"/>
      <c r="M83" s="76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 spans="1:26" ht="17.25" customHeight="1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 spans="1:26" ht="17.25" customHeight="1">
      <c r="A85" s="15"/>
      <c r="B85" s="77" t="s">
        <v>72</v>
      </c>
      <c r="C85" s="77"/>
      <c r="D85" s="77"/>
      <c r="E85" s="77" t="s">
        <v>73</v>
      </c>
      <c r="F85" s="77"/>
      <c r="G85" s="77"/>
      <c r="H85" s="78" t="s">
        <v>74</v>
      </c>
      <c r="I85" s="78"/>
      <c r="J85" s="78"/>
      <c r="K85" s="77" t="s">
        <v>75</v>
      </c>
      <c r="L85" s="77"/>
      <c r="M85" s="77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 spans="1:26" ht="21" customHeight="1">
      <c r="A86" s="15"/>
      <c r="B86" s="79" t="s">
        <v>76</v>
      </c>
      <c r="C86" s="79"/>
      <c r="D86" s="79"/>
      <c r="E86" s="79" t="s">
        <v>77</v>
      </c>
      <c r="F86" s="79"/>
      <c r="G86" s="79"/>
      <c r="H86" s="80" t="s">
        <v>78</v>
      </c>
      <c r="I86" s="80"/>
      <c r="J86" s="80"/>
      <c r="K86" s="79" t="s">
        <v>79</v>
      </c>
      <c r="L86" s="79"/>
      <c r="M86" s="79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spans="1:26" ht="21" customHeight="1">
      <c r="A87" s="15"/>
      <c r="B87" s="81" t="s">
        <v>80</v>
      </c>
      <c r="C87" s="81"/>
      <c r="D87" s="81"/>
      <c r="E87" s="81" t="s">
        <v>81</v>
      </c>
      <c r="F87" s="81"/>
      <c r="G87" s="81"/>
      <c r="H87" s="82" t="s">
        <v>82</v>
      </c>
      <c r="I87" s="82"/>
      <c r="J87" s="82"/>
      <c r="K87" s="81" t="s">
        <v>83</v>
      </c>
      <c r="L87" s="81"/>
      <c r="M87" s="81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 spans="1:26" ht="17.25" customHeight="1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 spans="1:26" ht="44.25" customHeight="1">
      <c r="A89" s="15"/>
      <c r="B89" s="83" t="s">
        <v>84</v>
      </c>
      <c r="C89" s="83"/>
      <c r="D89" s="83"/>
      <c r="E89" s="83"/>
      <c r="F89" s="83"/>
      <c r="G89" s="83"/>
      <c r="H89" s="83"/>
      <c r="I89" s="83"/>
      <c r="J89" s="83"/>
      <c r="K89" s="83"/>
      <c r="L89" s="83"/>
      <c r="M89" s="83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 spans="1:26" ht="17.25" customHeight="1">
      <c r="A90" s="15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 spans="1:26" ht="43.5" customHeight="1">
      <c r="A91" s="15"/>
      <c r="B91" s="61" t="s">
        <v>85</v>
      </c>
      <c r="C91" s="61"/>
      <c r="D91" s="61"/>
      <c r="E91" s="61"/>
      <c r="F91" s="61"/>
      <c r="G91" s="61"/>
      <c r="H91" s="61"/>
      <c r="I91" s="61"/>
      <c r="J91" s="61"/>
      <c r="K91" s="61"/>
      <c r="L91" s="61"/>
      <c r="M91" s="61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 spans="1:26" ht="15" customHeight="1">
      <c r="A92" s="15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spans="1:26" ht="15" customHeight="1">
      <c r="A93" s="15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 spans="1:26" ht="17.25" customHeight="1">
      <c r="A94" s="15"/>
      <c r="B94" s="1" t="s">
        <v>86</v>
      </c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 spans="1:26" ht="17.25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 spans="1:26" ht="45" customHeight="1">
      <c r="A96" s="15"/>
      <c r="B96" s="74" t="s">
        <v>87</v>
      </c>
      <c r="C96" s="74"/>
      <c r="D96" s="74"/>
      <c r="E96" s="74"/>
      <c r="F96" s="74"/>
      <c r="G96" s="74"/>
      <c r="H96" s="74"/>
      <c r="I96" s="74"/>
      <c r="J96" s="74"/>
      <c r="K96" s="74"/>
      <c r="L96" s="74"/>
      <c r="M96" s="74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 spans="1:26" ht="17.25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 spans="1:26" ht="17.25" customHeight="1">
      <c r="A98" s="15"/>
      <c r="B98" s="84">
        <f>COUNTA($C$104:$C$138)</f>
        <v>0</v>
      </c>
      <c r="C98" s="84"/>
      <c r="D98" s="84"/>
      <c r="E98" s="85">
        <f>COUNTIF($K$104:$K$138,"대표")+COUNTIF($K$104:$K$138,"부대표")+COUNTIF($K$104:$K$138,"회장단·운영진")+COUNTIF($K$104:$K$138,"임원진")</f>
        <v>0</v>
      </c>
      <c r="F98" s="85"/>
      <c r="G98" s="85"/>
      <c r="H98" s="85">
        <f>COUNTIF($K$104:$K$138,"일반 부원")</f>
        <v>0</v>
      </c>
      <c r="I98" s="85"/>
      <c r="J98" s="85"/>
      <c r="K98" s="86">
        <f>COUNTIF($I$104:$I$138,"참여 희망")</f>
        <v>0</v>
      </c>
      <c r="L98" s="86"/>
      <c r="M98" s="86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spans="1:26" ht="21" customHeight="1">
      <c r="A99" s="15"/>
      <c r="B99" s="87" t="s">
        <v>88</v>
      </c>
      <c r="C99" s="87"/>
      <c r="D99" s="87"/>
      <c r="E99" s="88" t="s">
        <v>89</v>
      </c>
      <c r="F99" s="88"/>
      <c r="G99" s="88"/>
      <c r="H99" s="88" t="s">
        <v>90</v>
      </c>
      <c r="I99" s="88"/>
      <c r="J99" s="88"/>
      <c r="K99" s="89" t="s">
        <v>91</v>
      </c>
      <c r="L99" s="89"/>
      <c r="M99" s="89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 spans="1:26" ht="17.25" customHeight="1">
      <c r="A100" s="15"/>
      <c r="B100" s="90">
        <f>COUNTIF($I$104:$I$138,"미정")</f>
        <v>0</v>
      </c>
      <c r="C100" s="90"/>
      <c r="D100" s="90"/>
      <c r="E100" s="91">
        <f>COUNTIF($J$104:$J$138,"*영어 사용 테이블*")</f>
        <v>0</v>
      </c>
      <c r="F100" s="91"/>
      <c r="G100" s="91"/>
      <c r="H100" s="91">
        <f>COUNTIF($J$104:$J$138,"*한국어 사용 테이블*")</f>
        <v>0</v>
      </c>
      <c r="I100" s="91"/>
      <c r="J100" s="91"/>
      <c r="K100" s="92"/>
      <c r="L100" s="92"/>
      <c r="M100" s="92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 spans="1:26" ht="45" customHeight="1">
      <c r="A101" s="15"/>
      <c r="B101" s="93" t="s">
        <v>92</v>
      </c>
      <c r="C101" s="93"/>
      <c r="D101" s="93"/>
      <c r="E101" s="94" t="s">
        <v>93</v>
      </c>
      <c r="F101" s="94"/>
      <c r="G101" s="94"/>
      <c r="H101" s="94" t="s">
        <v>94</v>
      </c>
      <c r="I101" s="94"/>
      <c r="J101" s="94"/>
      <c r="K101" s="95"/>
      <c r="L101" s="95"/>
      <c r="M101" s="9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 spans="1:26" ht="17.25" customHeight="1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 spans="1:26" ht="54" customHeight="1">
      <c r="A103" s="15"/>
      <c r="B103" s="23" t="s">
        <v>95</v>
      </c>
      <c r="C103" s="24" t="s">
        <v>96</v>
      </c>
      <c r="D103" s="24" t="s">
        <v>97</v>
      </c>
      <c r="E103" s="24" t="s">
        <v>98</v>
      </c>
      <c r="F103" s="24" t="s">
        <v>99</v>
      </c>
      <c r="G103" s="24" t="s">
        <v>54</v>
      </c>
      <c r="H103" s="24" t="s">
        <v>55</v>
      </c>
      <c r="I103" s="25" t="s">
        <v>100</v>
      </c>
      <c r="J103" s="24" t="s">
        <v>101</v>
      </c>
      <c r="K103" s="24" t="s">
        <v>102</v>
      </c>
      <c r="L103" s="24" t="s">
        <v>103</v>
      </c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26"/>
    </row>
    <row r="104" spans="1:26" ht="17.25" customHeight="1">
      <c r="A104" s="15"/>
      <c r="B104" s="27" t="str">
        <f>IF(C104="","",COUNTA($C$104:C104))</f>
        <v/>
      </c>
      <c r="C104" s="28"/>
      <c r="D104" s="28"/>
      <c r="E104" s="29"/>
      <c r="F104" s="30"/>
      <c r="G104" s="29"/>
      <c r="H104" s="28"/>
      <c r="I104" s="30"/>
      <c r="J104" s="31"/>
      <c r="K104" s="30"/>
      <c r="L104" s="32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26"/>
    </row>
    <row r="105" spans="1:26" ht="17.25" customHeight="1">
      <c r="A105" s="15"/>
      <c r="B105" s="27" t="str">
        <f>IF(C105="","",COUNTA($C$104:C105))</f>
        <v/>
      </c>
      <c r="C105" s="28"/>
      <c r="D105" s="28"/>
      <c r="E105" s="29"/>
      <c r="F105" s="30"/>
      <c r="G105" s="29"/>
      <c r="H105" s="28"/>
      <c r="I105" s="30"/>
      <c r="J105" s="31"/>
      <c r="K105" s="30"/>
      <c r="L105" s="32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26"/>
    </row>
    <row r="106" spans="1:26" ht="17.25" customHeight="1">
      <c r="A106" s="15"/>
      <c r="B106" s="27" t="str">
        <f>IF(C106="","",COUNTA($C$104:C106))</f>
        <v/>
      </c>
      <c r="C106" s="28"/>
      <c r="D106" s="28"/>
      <c r="E106" s="29"/>
      <c r="F106" s="30"/>
      <c r="G106" s="29"/>
      <c r="H106" s="28"/>
      <c r="I106" s="30"/>
      <c r="J106" s="31"/>
      <c r="K106" s="30"/>
      <c r="L106" s="32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26"/>
    </row>
    <row r="107" spans="1:26" ht="17.25" customHeight="1">
      <c r="A107" s="15"/>
      <c r="B107" s="27" t="str">
        <f>IF(C107="","",COUNTA($C$104:C107))</f>
        <v/>
      </c>
      <c r="C107" s="28"/>
      <c r="D107" s="28"/>
      <c r="E107" s="29"/>
      <c r="F107" s="30"/>
      <c r="G107" s="29"/>
      <c r="H107" s="28"/>
      <c r="I107" s="30"/>
      <c r="J107" s="31"/>
      <c r="K107" s="30"/>
      <c r="L107" s="32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26"/>
    </row>
    <row r="108" spans="1:26" ht="17.25" customHeight="1">
      <c r="A108" s="15"/>
      <c r="B108" s="27" t="str">
        <f>IF(C108="","",COUNTA($C$104:C108))</f>
        <v/>
      </c>
      <c r="C108" s="28"/>
      <c r="D108" s="28"/>
      <c r="E108" s="29"/>
      <c r="F108" s="30"/>
      <c r="G108" s="29"/>
      <c r="H108" s="28"/>
      <c r="I108" s="30"/>
      <c r="J108" s="31"/>
      <c r="K108" s="30"/>
      <c r="L108" s="32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26"/>
    </row>
    <row r="109" spans="1:26" ht="17.25" customHeight="1">
      <c r="A109" s="15"/>
      <c r="B109" s="27" t="str">
        <f>IF(C109="","",COUNTA($C$104:C109))</f>
        <v/>
      </c>
      <c r="C109" s="28"/>
      <c r="D109" s="28"/>
      <c r="E109" s="29"/>
      <c r="F109" s="30"/>
      <c r="G109" s="29"/>
      <c r="H109" s="28"/>
      <c r="I109" s="30"/>
      <c r="J109" s="31"/>
      <c r="K109" s="30"/>
      <c r="L109" s="32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26"/>
    </row>
    <row r="110" spans="1:26" ht="17.25" customHeight="1">
      <c r="A110" s="15"/>
      <c r="B110" s="27" t="str">
        <f>IF(C110="","",COUNTA($C$104:C110))</f>
        <v/>
      </c>
      <c r="C110" s="28"/>
      <c r="D110" s="28"/>
      <c r="E110" s="29"/>
      <c r="F110" s="30"/>
      <c r="G110" s="29"/>
      <c r="H110" s="28"/>
      <c r="I110" s="30"/>
      <c r="J110" s="31"/>
      <c r="K110" s="30"/>
      <c r="L110" s="32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26"/>
    </row>
    <row r="111" spans="1:26" ht="17.25" customHeight="1">
      <c r="A111" s="15"/>
      <c r="B111" s="27" t="str">
        <f>IF(C111="","",COUNTA($C$104:C111))</f>
        <v/>
      </c>
      <c r="C111" s="28"/>
      <c r="D111" s="28"/>
      <c r="E111" s="29"/>
      <c r="F111" s="30"/>
      <c r="G111" s="29"/>
      <c r="H111" s="28"/>
      <c r="I111" s="30"/>
      <c r="J111" s="31"/>
      <c r="K111" s="30"/>
      <c r="L111" s="32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26"/>
    </row>
    <row r="112" spans="1:26" ht="17.25" customHeight="1">
      <c r="A112" s="15"/>
      <c r="B112" s="27" t="str">
        <f>IF(C112="","",COUNTA($C$104:C112))</f>
        <v/>
      </c>
      <c r="C112" s="28"/>
      <c r="D112" s="28"/>
      <c r="E112" s="29"/>
      <c r="F112" s="30"/>
      <c r="G112" s="29"/>
      <c r="H112" s="28"/>
      <c r="I112" s="30"/>
      <c r="J112" s="31"/>
      <c r="K112" s="30"/>
      <c r="L112" s="32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26"/>
    </row>
    <row r="113" spans="1:26" ht="17.25" customHeight="1">
      <c r="A113" s="15"/>
      <c r="B113" s="27" t="str">
        <f>IF(C113="","",COUNTA($C$104:C113))</f>
        <v/>
      </c>
      <c r="C113" s="28"/>
      <c r="D113" s="28"/>
      <c r="E113" s="29"/>
      <c r="F113" s="30"/>
      <c r="G113" s="29"/>
      <c r="H113" s="28"/>
      <c r="I113" s="30"/>
      <c r="J113" s="31"/>
      <c r="K113" s="30"/>
      <c r="L113" s="32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26"/>
    </row>
    <row r="114" spans="1:26" ht="17.25" customHeight="1">
      <c r="A114" s="15"/>
      <c r="B114" s="27" t="str">
        <f>IF(C114="","",COUNTA($C$104:C114))</f>
        <v/>
      </c>
      <c r="C114" s="28"/>
      <c r="D114" s="28"/>
      <c r="E114" s="29"/>
      <c r="F114" s="30"/>
      <c r="G114" s="29"/>
      <c r="H114" s="28"/>
      <c r="I114" s="30"/>
      <c r="J114" s="31"/>
      <c r="K114" s="30"/>
      <c r="L114" s="32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26"/>
    </row>
    <row r="115" spans="1:26" ht="17.25" customHeight="1">
      <c r="A115" s="15"/>
      <c r="B115" s="27" t="str">
        <f>IF(C115="","",COUNTA($C$104:C115))</f>
        <v/>
      </c>
      <c r="C115" s="28"/>
      <c r="D115" s="28"/>
      <c r="E115" s="29"/>
      <c r="F115" s="30"/>
      <c r="G115" s="29"/>
      <c r="H115" s="28"/>
      <c r="I115" s="30"/>
      <c r="J115" s="31"/>
      <c r="K115" s="30"/>
      <c r="L115" s="32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26"/>
    </row>
    <row r="116" spans="1:26" ht="17.25" customHeight="1">
      <c r="A116" s="15"/>
      <c r="B116" s="27" t="str">
        <f>IF(C116="","",COUNTA($C$104:C116))</f>
        <v/>
      </c>
      <c r="C116" s="28"/>
      <c r="D116" s="28"/>
      <c r="E116" s="29"/>
      <c r="F116" s="30"/>
      <c r="G116" s="29"/>
      <c r="H116" s="28"/>
      <c r="I116" s="30"/>
      <c r="J116" s="31"/>
      <c r="K116" s="30"/>
      <c r="L116" s="32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26"/>
    </row>
    <row r="117" spans="1:26" ht="17.25" customHeight="1">
      <c r="A117" s="15"/>
      <c r="B117" s="27" t="str">
        <f>IF(C117="","",COUNTA($C$104:C117))</f>
        <v/>
      </c>
      <c r="C117" s="28"/>
      <c r="D117" s="28"/>
      <c r="E117" s="29"/>
      <c r="F117" s="30"/>
      <c r="G117" s="29"/>
      <c r="H117" s="28"/>
      <c r="I117" s="30"/>
      <c r="J117" s="31"/>
      <c r="K117" s="30"/>
      <c r="L117" s="32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26"/>
    </row>
    <row r="118" spans="1:26" ht="17.25" customHeight="1">
      <c r="A118" s="15"/>
      <c r="B118" s="27" t="str">
        <f>IF(C118="","",COUNTA($C$104:C118))</f>
        <v/>
      </c>
      <c r="C118" s="28"/>
      <c r="D118" s="28"/>
      <c r="E118" s="29"/>
      <c r="F118" s="30"/>
      <c r="G118" s="29"/>
      <c r="H118" s="28"/>
      <c r="I118" s="30"/>
      <c r="J118" s="31"/>
      <c r="K118" s="30"/>
      <c r="L118" s="32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26"/>
    </row>
    <row r="119" spans="1:26" ht="17.25" customHeight="1">
      <c r="A119" s="15"/>
      <c r="B119" s="27" t="str">
        <f>IF(C119="","",COUNTA($C$104:C119))</f>
        <v/>
      </c>
      <c r="C119" s="28"/>
      <c r="D119" s="28"/>
      <c r="E119" s="29"/>
      <c r="F119" s="30"/>
      <c r="G119" s="29"/>
      <c r="H119" s="28"/>
      <c r="I119" s="30"/>
      <c r="J119" s="31"/>
      <c r="K119" s="30"/>
      <c r="L119" s="32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26"/>
    </row>
    <row r="120" spans="1:26" ht="17.25" customHeight="1">
      <c r="A120" s="15"/>
      <c r="B120" s="27" t="str">
        <f>IF(C120="","",COUNTA($C$104:C120))</f>
        <v/>
      </c>
      <c r="C120" s="28"/>
      <c r="D120" s="28"/>
      <c r="E120" s="29"/>
      <c r="F120" s="30"/>
      <c r="G120" s="29"/>
      <c r="H120" s="28"/>
      <c r="I120" s="30"/>
      <c r="J120" s="31"/>
      <c r="K120" s="30"/>
      <c r="L120" s="32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26"/>
    </row>
    <row r="121" spans="1:26" ht="17.25" customHeight="1">
      <c r="A121" s="15"/>
      <c r="B121" s="27" t="str">
        <f>IF(C121="","",COUNTA($C$104:C121))</f>
        <v/>
      </c>
      <c r="C121" s="28"/>
      <c r="D121" s="28"/>
      <c r="E121" s="29"/>
      <c r="F121" s="30"/>
      <c r="G121" s="29"/>
      <c r="H121" s="28"/>
      <c r="I121" s="30"/>
      <c r="J121" s="31"/>
      <c r="K121" s="30"/>
      <c r="L121" s="32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26"/>
    </row>
    <row r="122" spans="1:26" ht="17.25" customHeight="1">
      <c r="A122" s="15"/>
      <c r="B122" s="27" t="str">
        <f>IF(C122="","",COUNTA($C$104:C122))</f>
        <v/>
      </c>
      <c r="C122" s="28"/>
      <c r="D122" s="28"/>
      <c r="E122" s="29"/>
      <c r="F122" s="30"/>
      <c r="G122" s="29"/>
      <c r="H122" s="28"/>
      <c r="I122" s="30"/>
      <c r="J122" s="31"/>
      <c r="K122" s="30"/>
      <c r="L122" s="32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26"/>
    </row>
    <row r="123" spans="1:26" ht="17.25" customHeight="1">
      <c r="A123" s="15"/>
      <c r="B123" s="27" t="str">
        <f>IF(C123="","",COUNTA($C$104:C123))</f>
        <v/>
      </c>
      <c r="C123" s="28"/>
      <c r="D123" s="28"/>
      <c r="E123" s="29"/>
      <c r="F123" s="30"/>
      <c r="G123" s="29"/>
      <c r="H123" s="28"/>
      <c r="I123" s="30"/>
      <c r="J123" s="31"/>
      <c r="K123" s="30"/>
      <c r="L123" s="32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26"/>
    </row>
    <row r="124" spans="1:26" ht="17.25" customHeight="1">
      <c r="A124" s="15"/>
      <c r="B124" s="27" t="str">
        <f>IF(C124="","",COUNTA($C$104:C124))</f>
        <v/>
      </c>
      <c r="C124" s="28"/>
      <c r="D124" s="28"/>
      <c r="E124" s="29"/>
      <c r="F124" s="30"/>
      <c r="G124" s="29"/>
      <c r="H124" s="28"/>
      <c r="I124" s="30"/>
      <c r="J124" s="31"/>
      <c r="K124" s="30"/>
      <c r="L124" s="32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26"/>
    </row>
    <row r="125" spans="1:26" ht="17.25" customHeight="1">
      <c r="A125" s="15"/>
      <c r="B125" s="27" t="str">
        <f>IF(C125="","",COUNTA($C$104:C125))</f>
        <v/>
      </c>
      <c r="C125" s="28"/>
      <c r="D125" s="28"/>
      <c r="E125" s="29"/>
      <c r="F125" s="30"/>
      <c r="G125" s="29"/>
      <c r="H125" s="28"/>
      <c r="I125" s="30"/>
      <c r="J125" s="31"/>
      <c r="K125" s="30"/>
      <c r="L125" s="32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26"/>
    </row>
    <row r="126" spans="1:26" ht="17.25" customHeight="1">
      <c r="A126" s="15"/>
      <c r="B126" s="27" t="str">
        <f>IF(C126="","",COUNTA($C$104:C126))</f>
        <v/>
      </c>
      <c r="C126" s="28"/>
      <c r="D126" s="28"/>
      <c r="E126" s="29"/>
      <c r="F126" s="30"/>
      <c r="G126" s="29"/>
      <c r="H126" s="28"/>
      <c r="I126" s="30"/>
      <c r="J126" s="31"/>
      <c r="K126" s="30"/>
      <c r="L126" s="32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26"/>
    </row>
    <row r="127" spans="1:26" ht="17.25" customHeight="1">
      <c r="A127" s="15"/>
      <c r="B127" s="27" t="str">
        <f>IF(C127="","",COUNTA($C$104:C127))</f>
        <v/>
      </c>
      <c r="C127" s="28"/>
      <c r="D127" s="28"/>
      <c r="E127" s="29"/>
      <c r="F127" s="30"/>
      <c r="G127" s="29"/>
      <c r="H127" s="28"/>
      <c r="I127" s="30"/>
      <c r="J127" s="31"/>
      <c r="K127" s="30"/>
      <c r="L127" s="32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26"/>
    </row>
    <row r="128" spans="1:26" ht="17.25" customHeight="1">
      <c r="A128" s="15"/>
      <c r="B128" s="27" t="str">
        <f>IF(C128="","",COUNTA($C$104:C128))</f>
        <v/>
      </c>
      <c r="C128" s="28"/>
      <c r="D128" s="28"/>
      <c r="E128" s="29"/>
      <c r="F128" s="30"/>
      <c r="G128" s="29"/>
      <c r="H128" s="28"/>
      <c r="I128" s="30"/>
      <c r="J128" s="31"/>
      <c r="K128" s="30"/>
      <c r="L128" s="32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26"/>
    </row>
    <row r="129" spans="1:26" ht="17.25" customHeight="1">
      <c r="A129" s="15"/>
      <c r="B129" s="27" t="str">
        <f>IF(C129="","",COUNTA($C$104:C129))</f>
        <v/>
      </c>
      <c r="C129" s="28"/>
      <c r="D129" s="28"/>
      <c r="E129" s="29"/>
      <c r="F129" s="30"/>
      <c r="G129" s="29"/>
      <c r="H129" s="28"/>
      <c r="I129" s="30"/>
      <c r="J129" s="31"/>
      <c r="K129" s="30"/>
      <c r="L129" s="32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26"/>
    </row>
    <row r="130" spans="1:26" ht="17.25" customHeight="1">
      <c r="A130" s="15"/>
      <c r="B130" s="27" t="str">
        <f>IF(C130="","",COUNTA($C$104:C130))</f>
        <v/>
      </c>
      <c r="C130" s="28"/>
      <c r="D130" s="28"/>
      <c r="E130" s="29"/>
      <c r="F130" s="30"/>
      <c r="G130" s="29"/>
      <c r="H130" s="28"/>
      <c r="I130" s="30"/>
      <c r="J130" s="31"/>
      <c r="K130" s="30"/>
      <c r="L130" s="32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26"/>
    </row>
    <row r="131" spans="1:26" ht="17.25" customHeight="1">
      <c r="A131" s="15"/>
      <c r="B131" s="27" t="str">
        <f>IF(C131="","",COUNTA($C$104:C131))</f>
        <v/>
      </c>
      <c r="C131" s="28"/>
      <c r="D131" s="28"/>
      <c r="E131" s="29"/>
      <c r="F131" s="30"/>
      <c r="G131" s="29"/>
      <c r="H131" s="28"/>
      <c r="I131" s="30"/>
      <c r="J131" s="31"/>
      <c r="K131" s="30"/>
      <c r="L131" s="32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26"/>
    </row>
    <row r="132" spans="1:26" ht="17.25" customHeight="1">
      <c r="A132" s="15"/>
      <c r="B132" s="27" t="str">
        <f>IF(C132="","",COUNTA($C$104:C132))</f>
        <v/>
      </c>
      <c r="C132" s="28"/>
      <c r="D132" s="28"/>
      <c r="E132" s="29"/>
      <c r="F132" s="30"/>
      <c r="G132" s="29"/>
      <c r="H132" s="28"/>
      <c r="I132" s="30"/>
      <c r="J132" s="31"/>
      <c r="K132" s="30"/>
      <c r="L132" s="32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26"/>
    </row>
    <row r="133" spans="1:26" ht="17.25" customHeight="1">
      <c r="A133" s="15"/>
      <c r="B133" s="27" t="str">
        <f>IF(C133="","",COUNTA($C$104:C133))</f>
        <v/>
      </c>
      <c r="C133" s="28"/>
      <c r="D133" s="28"/>
      <c r="E133" s="29"/>
      <c r="F133" s="30"/>
      <c r="G133" s="29"/>
      <c r="H133" s="28"/>
      <c r="I133" s="30"/>
      <c r="J133" s="31"/>
      <c r="K133" s="30"/>
      <c r="L133" s="32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26"/>
    </row>
    <row r="134" spans="1:26" ht="17.25" customHeight="1">
      <c r="A134" s="15"/>
      <c r="B134" s="27" t="str">
        <f>IF(C134="","",COUNTA($C$104:C134))</f>
        <v/>
      </c>
      <c r="C134" s="28"/>
      <c r="D134" s="28"/>
      <c r="E134" s="29"/>
      <c r="F134" s="30"/>
      <c r="G134" s="29"/>
      <c r="H134" s="28"/>
      <c r="I134" s="30"/>
      <c r="J134" s="31"/>
      <c r="K134" s="30"/>
      <c r="L134" s="32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26"/>
    </row>
    <row r="135" spans="1:26" ht="17.25" customHeight="1">
      <c r="A135" s="15"/>
      <c r="B135" s="27" t="str">
        <f>IF(C135="","",COUNTA($C$104:C135))</f>
        <v/>
      </c>
      <c r="C135" s="28"/>
      <c r="D135" s="28"/>
      <c r="E135" s="29"/>
      <c r="F135" s="30"/>
      <c r="G135" s="29"/>
      <c r="H135" s="28"/>
      <c r="I135" s="30"/>
      <c r="J135" s="31"/>
      <c r="K135" s="30"/>
      <c r="L135" s="32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26"/>
    </row>
    <row r="136" spans="1:26" ht="17.25" customHeight="1">
      <c r="A136" s="15"/>
      <c r="B136" s="27" t="str">
        <f>IF(C136="","",COUNTA($C$104:C136))</f>
        <v/>
      </c>
      <c r="C136" s="28"/>
      <c r="D136" s="28"/>
      <c r="E136" s="29"/>
      <c r="F136" s="30"/>
      <c r="G136" s="29"/>
      <c r="H136" s="28"/>
      <c r="I136" s="30"/>
      <c r="J136" s="31"/>
      <c r="K136" s="30"/>
      <c r="L136" s="32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26"/>
    </row>
    <row r="137" spans="1:26" ht="17.25" customHeight="1">
      <c r="A137" s="15"/>
      <c r="B137" s="27" t="str">
        <f>IF(C137="","",COUNTA($C$104:C137))</f>
        <v/>
      </c>
      <c r="C137" s="28"/>
      <c r="D137" s="28"/>
      <c r="E137" s="29"/>
      <c r="F137" s="30"/>
      <c r="G137" s="29"/>
      <c r="H137" s="28"/>
      <c r="I137" s="30"/>
      <c r="J137" s="31"/>
      <c r="K137" s="30"/>
      <c r="L137" s="32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26"/>
    </row>
    <row r="138" spans="1:26" ht="17.25" customHeight="1">
      <c r="A138" s="15"/>
      <c r="B138" s="33" t="str">
        <f>IF(C138="","",COUNTA($C$104:C138))</f>
        <v/>
      </c>
      <c r="C138" s="34"/>
      <c r="D138" s="34"/>
      <c r="E138" s="35"/>
      <c r="F138" s="36"/>
      <c r="G138" s="35"/>
      <c r="H138" s="34"/>
      <c r="I138" s="36"/>
      <c r="J138" s="37"/>
      <c r="K138" s="36"/>
      <c r="L138" s="38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26"/>
    </row>
    <row r="139" spans="1:26" ht="17.25" customHeight="1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 spans="1:26" ht="21" customHeight="1">
      <c r="A140" s="15"/>
      <c r="B140" s="96" t="s">
        <v>104</v>
      </c>
      <c r="C140" s="96"/>
      <c r="D140" s="96"/>
      <c r="E140" s="96"/>
      <c r="F140" s="96"/>
      <c r="G140" s="96"/>
      <c r="H140" s="96"/>
      <c r="I140" s="96"/>
      <c r="J140" s="96"/>
      <c r="K140" s="96"/>
      <c r="L140" s="96"/>
      <c r="M140" s="96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 spans="1:26" ht="15" customHeight="1">
      <c r="A141" s="15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 spans="1:26" ht="43.5" customHeight="1">
      <c r="A142" s="39"/>
      <c r="B142" s="61" t="s">
        <v>105</v>
      </c>
      <c r="C142" s="61"/>
      <c r="D142" s="61"/>
      <c r="E142" s="61"/>
      <c r="F142" s="61"/>
      <c r="G142" s="61"/>
      <c r="H142" s="61"/>
      <c r="I142" s="61"/>
      <c r="J142" s="61"/>
      <c r="K142" s="61"/>
      <c r="L142" s="61"/>
      <c r="M142" s="61"/>
      <c r="N142" s="39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 spans="1:26" ht="15" customHeight="1">
      <c r="A143" s="39"/>
      <c r="B143" s="39"/>
      <c r="C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  <c r="N143" s="39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 spans="1:26" ht="21" customHeight="1">
      <c r="A144" s="39"/>
      <c r="B144" s="97" t="s">
        <v>106</v>
      </c>
      <c r="C144" s="97"/>
      <c r="D144" s="97"/>
      <c r="E144" s="97"/>
      <c r="F144" s="97"/>
      <c r="G144" s="97"/>
      <c r="H144" s="97"/>
      <c r="I144" s="97"/>
      <c r="J144" s="97"/>
      <c r="K144" s="97"/>
      <c r="L144" s="97"/>
      <c r="M144" s="97"/>
      <c r="N144" s="39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 spans="1:26" ht="17.25" customHeight="1">
      <c r="A145" s="39"/>
      <c r="B145" s="39"/>
      <c r="C145" s="39"/>
      <c r="D145" s="39"/>
      <c r="E145" s="39"/>
      <c r="F145" s="39"/>
      <c r="G145" s="39"/>
      <c r="H145" s="39"/>
      <c r="I145" s="39"/>
      <c r="J145" s="39"/>
      <c r="K145" s="39"/>
      <c r="L145" s="39"/>
      <c r="M145" s="39"/>
      <c r="N145" s="39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 spans="1:26" ht="45" customHeight="1">
      <c r="A146" s="39"/>
      <c r="B146" s="98" t="s">
        <v>107</v>
      </c>
      <c r="C146" s="98"/>
      <c r="D146" s="98"/>
      <c r="E146" s="98"/>
      <c r="F146" s="98"/>
      <c r="G146" s="98"/>
      <c r="H146" s="98"/>
      <c r="I146" s="98"/>
      <c r="J146" s="98"/>
      <c r="K146" s="98"/>
      <c r="L146" s="98"/>
      <c r="M146" s="98"/>
      <c r="N146" s="39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 spans="1:26" ht="17.25" customHeight="1">
      <c r="A147" s="39"/>
      <c r="B147" s="39"/>
      <c r="C147" s="39"/>
      <c r="D147" s="39"/>
      <c r="E147" s="39"/>
      <c r="F147" s="39"/>
      <c r="G147" s="39"/>
      <c r="H147" s="39"/>
      <c r="I147" s="39"/>
      <c r="J147" s="39"/>
      <c r="K147" s="39"/>
      <c r="L147" s="39"/>
      <c r="M147" s="39"/>
      <c r="N147" s="39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 spans="1:26" ht="21" customHeight="1">
      <c r="A148" s="39"/>
      <c r="B148" s="84">
        <f>COUNTIF($I$104:$I$138,"참여 희망")</f>
        <v>0</v>
      </c>
      <c r="C148" s="84"/>
      <c r="D148" s="84"/>
      <c r="E148" s="99">
        <f>B148*28000</f>
        <v>0</v>
      </c>
      <c r="F148" s="99"/>
      <c r="G148" s="99"/>
      <c r="H148" s="40"/>
      <c r="K148" s="39"/>
      <c r="L148" s="39"/>
      <c r="M148" s="39"/>
      <c r="N148" s="39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 spans="1:26" ht="21" customHeight="1">
      <c r="A149" s="39"/>
      <c r="B149" s="100" t="s">
        <v>108</v>
      </c>
      <c r="C149" s="100"/>
      <c r="D149" s="100"/>
      <c r="E149" s="88" t="s">
        <v>109</v>
      </c>
      <c r="F149" s="88"/>
      <c r="G149" s="88"/>
      <c r="H149" s="22"/>
      <c r="K149" s="39"/>
      <c r="L149" s="39"/>
      <c r="M149" s="39"/>
      <c r="N149" s="39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 spans="1:26" ht="17.25" customHeight="1">
      <c r="A150" s="39"/>
      <c r="B150" s="39"/>
      <c r="C150" s="39"/>
      <c r="D150" s="39"/>
      <c r="E150" s="39"/>
      <c r="F150" s="39"/>
      <c r="G150" s="39"/>
      <c r="H150" s="39"/>
      <c r="I150" s="39"/>
      <c r="J150" s="39"/>
      <c r="K150" s="39"/>
      <c r="L150" s="39"/>
      <c r="M150" s="39"/>
      <c r="N150" s="39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 spans="1:26" ht="21" customHeight="1">
      <c r="A151" s="39"/>
      <c r="B151" s="69" t="s">
        <v>110</v>
      </c>
      <c r="C151" s="69"/>
      <c r="D151" s="69"/>
      <c r="E151" s="101" t="s">
        <v>111</v>
      </c>
      <c r="F151" s="101"/>
      <c r="G151" s="101"/>
      <c r="H151" s="101"/>
      <c r="I151" s="101"/>
      <c r="J151" s="101"/>
      <c r="K151" s="101"/>
      <c r="L151" s="101"/>
      <c r="M151" s="101"/>
      <c r="N151" s="39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 spans="1:26" ht="21" customHeight="1">
      <c r="A152" s="39"/>
      <c r="B152" s="96" t="s">
        <v>112</v>
      </c>
      <c r="C152" s="96"/>
      <c r="D152" s="96"/>
      <c r="E152" s="96"/>
      <c r="F152" s="96"/>
      <c r="G152" s="96"/>
      <c r="H152" s="96"/>
      <c r="I152" s="96"/>
      <c r="J152" s="96"/>
      <c r="K152" s="96"/>
      <c r="L152" s="96"/>
      <c r="M152" s="96"/>
      <c r="N152" s="39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 spans="1:26" ht="17.25" customHeight="1">
      <c r="A153" s="39"/>
      <c r="B153" s="39"/>
      <c r="C153" s="39"/>
      <c r="D153" s="39"/>
      <c r="E153" s="39"/>
      <c r="F153" s="39"/>
      <c r="G153" s="39"/>
      <c r="H153" s="39"/>
      <c r="I153" s="39"/>
      <c r="J153" s="39"/>
      <c r="K153" s="39"/>
      <c r="L153" s="39"/>
      <c r="M153" s="39"/>
      <c r="N153" s="39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 spans="1:26" ht="17.25" customHeight="1">
      <c r="A154" s="39"/>
      <c r="B154" s="39"/>
      <c r="C154" s="39"/>
      <c r="D154" s="39"/>
      <c r="E154" s="39"/>
      <c r="F154" s="39"/>
      <c r="G154" s="39"/>
      <c r="H154" s="39"/>
      <c r="I154" s="39"/>
      <c r="J154" s="39"/>
      <c r="K154" s="39"/>
      <c r="L154" s="39"/>
      <c r="M154" s="39"/>
      <c r="N154" s="39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 spans="1:26" ht="17.25" customHeight="1">
      <c r="A155" s="39"/>
      <c r="B155" s="39"/>
      <c r="C155" s="39"/>
      <c r="D155" s="39"/>
      <c r="E155" s="39"/>
      <c r="F155" s="39"/>
      <c r="G155" s="39"/>
      <c r="H155" s="39"/>
      <c r="I155" s="39"/>
      <c r="J155" s="39"/>
      <c r="K155" s="39"/>
      <c r="L155" s="39"/>
      <c r="M155" s="39"/>
      <c r="N155" s="39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 spans="1:26" ht="15" customHeight="1">
      <c r="A156" s="15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 spans="1:26" ht="15" customHeight="1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 spans="1:26" ht="24" customHeight="1">
      <c r="A158" s="15"/>
      <c r="B158" s="61" t="s">
        <v>113</v>
      </c>
      <c r="C158" s="61"/>
      <c r="D158" s="61"/>
      <c r="E158" s="61"/>
      <c r="F158" s="61"/>
      <c r="G158" s="61"/>
      <c r="H158" s="61"/>
      <c r="I158" s="61"/>
      <c r="J158" s="61"/>
      <c r="K158" s="61"/>
      <c r="L158" s="61"/>
      <c r="M158" s="61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 spans="1:26" ht="17.25" customHeight="1">
      <c r="A159" s="15"/>
      <c r="B159" s="1" t="s">
        <v>114</v>
      </c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 spans="1:26" ht="1.5" customHeight="1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 spans="1:26" ht="21" customHeight="1">
      <c r="A161" s="15"/>
      <c r="B161" s="63" t="s">
        <v>115</v>
      </c>
      <c r="C161" s="63"/>
      <c r="D161" s="63"/>
      <c r="E161" s="63"/>
      <c r="F161" s="63"/>
      <c r="G161" s="63"/>
      <c r="H161" s="63"/>
      <c r="I161" s="63"/>
      <c r="J161" s="63"/>
      <c r="K161" s="63"/>
      <c r="L161" s="63"/>
      <c r="M161" s="63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 spans="1:26" ht="21" customHeight="1">
      <c r="A162" s="15"/>
      <c r="B162" s="64" t="s">
        <v>116</v>
      </c>
      <c r="C162" s="64"/>
      <c r="D162" s="64"/>
      <c r="E162" s="64"/>
      <c r="F162" s="64"/>
      <c r="G162" s="64"/>
      <c r="H162" s="64"/>
      <c r="I162" s="64"/>
      <c r="J162" s="64"/>
      <c r="K162" s="64"/>
      <c r="L162" s="64"/>
      <c r="M162" s="64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 spans="1:26" ht="17.25" customHeight="1">
      <c r="A163" s="15"/>
      <c r="B163" s="68"/>
      <c r="C163" s="68"/>
      <c r="D163" s="68"/>
      <c r="E163" s="68"/>
      <c r="F163" s="68"/>
      <c r="G163" s="68"/>
      <c r="H163" s="68"/>
      <c r="I163" s="68"/>
      <c r="J163" s="68"/>
      <c r="K163" s="68"/>
      <c r="L163" s="68"/>
      <c r="M163" s="68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 spans="1:26" ht="17.25" customHeight="1">
      <c r="A164" s="15"/>
      <c r="B164" s="68"/>
      <c r="C164" s="68"/>
      <c r="D164" s="68"/>
      <c r="E164" s="68"/>
      <c r="F164" s="68"/>
      <c r="G164" s="68"/>
      <c r="H164" s="68"/>
      <c r="I164" s="68"/>
      <c r="J164" s="68"/>
      <c r="K164" s="68"/>
      <c r="L164" s="68"/>
      <c r="M164" s="68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 spans="1:26" ht="17.25" customHeight="1">
      <c r="A165" s="15"/>
      <c r="B165" s="68"/>
      <c r="C165" s="68"/>
      <c r="D165" s="68"/>
      <c r="E165" s="68"/>
      <c r="F165" s="68"/>
      <c r="G165" s="68"/>
      <c r="H165" s="68"/>
      <c r="I165" s="68"/>
      <c r="J165" s="68"/>
      <c r="K165" s="68"/>
      <c r="L165" s="68"/>
      <c r="M165" s="68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 spans="1:26" ht="45" customHeight="1">
      <c r="A166" s="15"/>
      <c r="B166" s="68"/>
      <c r="C166" s="68"/>
      <c r="D166" s="68"/>
      <c r="E166" s="68"/>
      <c r="F166" s="68"/>
      <c r="G166" s="68"/>
      <c r="H166" s="68"/>
      <c r="I166" s="68"/>
      <c r="J166" s="68"/>
      <c r="K166" s="68"/>
      <c r="L166" s="68"/>
      <c r="M166" s="68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 spans="1:26" ht="30.75" customHeight="1">
      <c r="A167" s="15"/>
      <c r="B167" s="102" t="s">
        <v>117</v>
      </c>
      <c r="C167" s="102"/>
      <c r="D167" s="102"/>
      <c r="E167" s="102"/>
      <c r="F167" s="102"/>
      <c r="G167" s="102"/>
      <c r="H167" s="102"/>
      <c r="I167" s="102"/>
      <c r="J167" s="102"/>
      <c r="K167" s="102"/>
      <c r="L167" s="102"/>
      <c r="M167" s="102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 spans="1:26" ht="15" customHeight="1">
      <c r="A168" s="15"/>
      <c r="B168" s="41"/>
      <c r="C168" s="41"/>
      <c r="D168" s="41"/>
      <c r="E168" s="41"/>
      <c r="F168" s="41"/>
      <c r="G168" s="41"/>
      <c r="H168" s="41"/>
      <c r="I168" s="41"/>
      <c r="J168" s="41"/>
      <c r="K168" s="41"/>
      <c r="L168" s="41"/>
      <c r="M168" s="41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 spans="1:26" ht="15" customHeight="1">
      <c r="A169" s="15"/>
      <c r="B169" s="41"/>
      <c r="C169" s="41"/>
      <c r="D169" s="41"/>
      <c r="E169" s="41"/>
      <c r="F169" s="41"/>
      <c r="G169" s="41"/>
      <c r="H169" s="41"/>
      <c r="I169" s="41"/>
      <c r="J169" s="41"/>
      <c r="K169" s="41"/>
      <c r="L169" s="41"/>
      <c r="M169" s="41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 spans="1:26" ht="17.25" customHeight="1">
      <c r="A170" s="15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 spans="1:26" ht="24" customHeight="1">
      <c r="A171" s="15"/>
      <c r="B171" s="61" t="s">
        <v>118</v>
      </c>
      <c r="C171" s="61"/>
      <c r="D171" s="61"/>
      <c r="E171" s="61"/>
      <c r="F171" s="61"/>
      <c r="G171" s="61"/>
      <c r="H171" s="61"/>
      <c r="I171" s="61"/>
      <c r="J171" s="61"/>
      <c r="K171" s="61"/>
      <c r="L171" s="61"/>
      <c r="M171" s="61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 spans="1:26" ht="17.25" customHeight="1">
      <c r="A172" s="15"/>
      <c r="B172" s="1" t="s">
        <v>119</v>
      </c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 spans="1:26" ht="17.25" customHeight="1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 spans="1:26" ht="15" customHeight="1">
      <c r="A174" s="15"/>
      <c r="B174" s="68"/>
      <c r="C174" s="68"/>
      <c r="D174" s="68"/>
      <c r="E174" s="68"/>
      <c r="F174" s="68"/>
      <c r="G174" s="68"/>
      <c r="H174" s="68"/>
      <c r="I174" s="68"/>
      <c r="J174" s="68"/>
      <c r="K174" s="68"/>
      <c r="L174" s="68"/>
      <c r="M174" s="68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 spans="1:26" ht="15" customHeight="1">
      <c r="A175" s="15"/>
      <c r="B175" s="68"/>
      <c r="C175" s="68"/>
      <c r="D175" s="68"/>
      <c r="E175" s="68"/>
      <c r="F175" s="68"/>
      <c r="G175" s="68"/>
      <c r="H175" s="68"/>
      <c r="I175" s="68"/>
      <c r="J175" s="68"/>
      <c r="K175" s="68"/>
      <c r="L175" s="68"/>
      <c r="M175" s="68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 spans="1:26" ht="15" customHeight="1">
      <c r="A176" s="15"/>
      <c r="B176" s="68"/>
      <c r="C176" s="68"/>
      <c r="D176" s="68"/>
      <c r="E176" s="68"/>
      <c r="F176" s="68"/>
      <c r="G176" s="68"/>
      <c r="H176" s="68"/>
      <c r="I176" s="68"/>
      <c r="J176" s="68"/>
      <c r="K176" s="68"/>
      <c r="L176" s="68"/>
      <c r="M176" s="68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 spans="1:26" ht="17.25" customHeight="1">
      <c r="A177" s="15"/>
      <c r="B177" s="68"/>
      <c r="C177" s="68"/>
      <c r="D177" s="68"/>
      <c r="E177" s="68"/>
      <c r="F177" s="68"/>
      <c r="G177" s="68"/>
      <c r="H177" s="68"/>
      <c r="I177" s="68"/>
      <c r="J177" s="68"/>
      <c r="K177" s="68"/>
      <c r="L177" s="68"/>
      <c r="M177" s="68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 spans="1:26" ht="17.25" customHeight="1">
      <c r="A178" s="15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 spans="1:26" ht="24" customHeight="1">
      <c r="A179" s="15"/>
      <c r="B179" s="61" t="s">
        <v>120</v>
      </c>
      <c r="C179" s="61"/>
      <c r="D179" s="61"/>
      <c r="E179" s="61"/>
      <c r="F179" s="61"/>
      <c r="G179" s="61"/>
      <c r="H179" s="61"/>
      <c r="I179" s="61"/>
      <c r="J179" s="61"/>
      <c r="K179" s="61"/>
      <c r="L179" s="61"/>
      <c r="M179" s="61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 spans="1:26" ht="21" customHeight="1">
      <c r="A180" s="15"/>
      <c r="B180" s="1" t="s">
        <v>121</v>
      </c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 spans="1:26" ht="17.25" customHeight="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 spans="1:26" ht="17.25" customHeight="1">
      <c r="A182" s="15"/>
      <c r="B182" s="103" t="s">
        <v>122</v>
      </c>
      <c r="C182" s="103"/>
      <c r="D182" s="103"/>
      <c r="E182" s="103"/>
      <c r="F182" s="103"/>
      <c r="G182" s="103"/>
      <c r="H182" s="103"/>
      <c r="I182" s="103"/>
      <c r="J182" s="103"/>
      <c r="K182" s="103"/>
      <c r="L182" s="103"/>
      <c r="M182" s="103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 spans="1:26" ht="17.25" customHeight="1">
      <c r="A183" s="15"/>
      <c r="B183" s="104" t="s">
        <v>123</v>
      </c>
      <c r="C183" s="104"/>
      <c r="D183" s="104"/>
      <c r="E183" s="104"/>
      <c r="F183" s="104"/>
      <c r="G183" s="104"/>
      <c r="H183" s="104"/>
      <c r="I183" s="104"/>
      <c r="J183" s="104"/>
      <c r="K183" s="104"/>
      <c r="L183" s="104"/>
      <c r="M183" s="104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 spans="1:26" ht="45" customHeight="1">
      <c r="A184" s="15"/>
      <c r="B184" s="104"/>
      <c r="C184" s="104"/>
      <c r="D184" s="104"/>
      <c r="E184" s="104"/>
      <c r="F184" s="104"/>
      <c r="G184" s="104"/>
      <c r="H184" s="104"/>
      <c r="I184" s="104"/>
      <c r="J184" s="104"/>
      <c r="K184" s="104"/>
      <c r="L184" s="104"/>
      <c r="M184" s="104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 spans="1:26" ht="17.25" customHeight="1">
      <c r="A185" s="15"/>
      <c r="B185" s="105" t="s">
        <v>124</v>
      </c>
      <c r="C185" s="105"/>
      <c r="D185" s="105"/>
      <c r="E185" s="105"/>
      <c r="F185" s="105"/>
      <c r="G185" s="105"/>
      <c r="H185" s="105"/>
      <c r="I185" s="105"/>
      <c r="J185" s="105"/>
      <c r="K185" s="105"/>
      <c r="L185" s="105"/>
      <c r="M185" s="10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 spans="1:26" ht="17.25" customHeight="1">
      <c r="A186" s="15"/>
      <c r="B186" s="104" t="s">
        <v>125</v>
      </c>
      <c r="C186" s="104"/>
      <c r="D186" s="104"/>
      <c r="E186" s="104"/>
      <c r="F186" s="104"/>
      <c r="G186" s="104"/>
      <c r="H186" s="104"/>
      <c r="I186" s="104"/>
      <c r="J186" s="104"/>
      <c r="K186" s="104"/>
      <c r="L186" s="104"/>
      <c r="M186" s="104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 spans="1:26" ht="17.25" customHeight="1">
      <c r="A187" s="15"/>
      <c r="B187" s="104"/>
      <c r="C187" s="104"/>
      <c r="D187" s="104"/>
      <c r="E187" s="104"/>
      <c r="F187" s="104"/>
      <c r="G187" s="104"/>
      <c r="H187" s="104"/>
      <c r="I187" s="104"/>
      <c r="J187" s="104"/>
      <c r="K187" s="104"/>
      <c r="L187" s="104"/>
      <c r="M187" s="104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 spans="1:26" ht="17.25" customHeight="1">
      <c r="A188" s="15"/>
      <c r="B188" s="105" t="s">
        <v>126</v>
      </c>
      <c r="C188" s="105"/>
      <c r="D188" s="105"/>
      <c r="E188" s="105"/>
      <c r="F188" s="105"/>
      <c r="G188" s="105"/>
      <c r="H188" s="105"/>
      <c r="I188" s="105"/>
      <c r="J188" s="105"/>
      <c r="K188" s="105"/>
      <c r="L188" s="105"/>
      <c r="M188" s="10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 spans="1:26" ht="17.25" customHeight="1">
      <c r="A189" s="15"/>
      <c r="B189" s="104" t="s">
        <v>127</v>
      </c>
      <c r="C189" s="104"/>
      <c r="D189" s="104"/>
      <c r="E189" s="104"/>
      <c r="F189" s="104"/>
      <c r="G189" s="104"/>
      <c r="H189" s="104"/>
      <c r="I189" s="104"/>
      <c r="J189" s="104"/>
      <c r="K189" s="104"/>
      <c r="L189" s="104"/>
      <c r="M189" s="104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 spans="1:26" ht="45" customHeight="1">
      <c r="A190" s="15"/>
      <c r="B190" s="104"/>
      <c r="C190" s="104"/>
      <c r="D190" s="104"/>
      <c r="E190" s="104"/>
      <c r="F190" s="104"/>
      <c r="G190" s="104"/>
      <c r="H190" s="104"/>
      <c r="I190" s="104"/>
      <c r="J190" s="104"/>
      <c r="K190" s="104"/>
      <c r="L190" s="104"/>
      <c r="M190" s="104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 spans="1:26" ht="17.25" customHeight="1">
      <c r="A191" s="15"/>
      <c r="B191" s="105" t="s">
        <v>128</v>
      </c>
      <c r="C191" s="105"/>
      <c r="D191" s="105"/>
      <c r="E191" s="105"/>
      <c r="F191" s="105"/>
      <c r="G191" s="105"/>
      <c r="H191" s="105"/>
      <c r="I191" s="105"/>
      <c r="J191" s="105"/>
      <c r="K191" s="105"/>
      <c r="L191" s="105"/>
      <c r="M191" s="10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 spans="1:26" ht="17.25" customHeight="1">
      <c r="A192" s="15"/>
      <c r="B192" s="104" t="s">
        <v>129</v>
      </c>
      <c r="C192" s="104"/>
      <c r="D192" s="104"/>
      <c r="E192" s="104"/>
      <c r="F192" s="104"/>
      <c r="G192" s="104"/>
      <c r="H192" s="104"/>
      <c r="I192" s="104"/>
      <c r="J192" s="104"/>
      <c r="K192" s="104"/>
      <c r="L192" s="104"/>
      <c r="M192" s="104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 spans="1:26" ht="17.25" customHeight="1">
      <c r="A193" s="15"/>
      <c r="B193" s="104"/>
      <c r="C193" s="104"/>
      <c r="D193" s="104"/>
      <c r="E193" s="104"/>
      <c r="F193" s="104"/>
      <c r="G193" s="104"/>
      <c r="H193" s="104"/>
      <c r="I193" s="104"/>
      <c r="J193" s="104"/>
      <c r="K193" s="104"/>
      <c r="L193" s="104"/>
      <c r="M193" s="104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 spans="1:26" ht="17.25" customHeight="1">
      <c r="A194" s="15"/>
      <c r="B194" s="105" t="s">
        <v>130</v>
      </c>
      <c r="C194" s="105"/>
      <c r="D194" s="105"/>
      <c r="E194" s="105"/>
      <c r="F194" s="105"/>
      <c r="G194" s="105"/>
      <c r="H194" s="105"/>
      <c r="I194" s="105"/>
      <c r="J194" s="105"/>
      <c r="K194" s="105"/>
      <c r="L194" s="105"/>
      <c r="M194" s="10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 spans="1:26" ht="17.25" customHeight="1">
      <c r="A195" s="15"/>
      <c r="B195" s="106" t="s">
        <v>131</v>
      </c>
      <c r="C195" s="106"/>
      <c r="D195" s="106"/>
      <c r="E195" s="106"/>
      <c r="F195" s="106"/>
      <c r="G195" s="106"/>
      <c r="H195" s="106"/>
      <c r="I195" s="106"/>
      <c r="J195" s="106"/>
      <c r="K195" s="106"/>
      <c r="L195" s="106"/>
      <c r="M195" s="106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 spans="1:26" ht="45" customHeight="1">
      <c r="A196" s="15"/>
      <c r="B196" s="106"/>
      <c r="C196" s="106"/>
      <c r="D196" s="106"/>
      <c r="E196" s="106"/>
      <c r="F196" s="106"/>
      <c r="G196" s="106"/>
      <c r="H196" s="106"/>
      <c r="I196" s="106"/>
      <c r="J196" s="106"/>
      <c r="K196" s="106"/>
      <c r="L196" s="106"/>
      <c r="M196" s="106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 spans="1:26" ht="17.25" customHeight="1">
      <c r="A197" s="15"/>
      <c r="B197" s="106"/>
      <c r="C197" s="106"/>
      <c r="D197" s="106"/>
      <c r="E197" s="106"/>
      <c r="F197" s="106"/>
      <c r="G197" s="106"/>
      <c r="H197" s="106"/>
      <c r="I197" s="106"/>
      <c r="J197" s="106"/>
      <c r="K197" s="106"/>
      <c r="L197" s="106"/>
      <c r="M197" s="106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 spans="1:26" ht="15" customHeight="1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 spans="1:26" ht="33.75" customHeight="1">
      <c r="A199" s="15"/>
      <c r="B199" s="42" t="s">
        <v>132</v>
      </c>
      <c r="C199" s="107" t="s">
        <v>121</v>
      </c>
      <c r="D199" s="107"/>
      <c r="E199" s="107"/>
      <c r="F199" s="107"/>
      <c r="G199" s="107"/>
      <c r="H199" s="107"/>
      <c r="I199" s="107"/>
      <c r="J199" s="107"/>
      <c r="K199" s="107"/>
      <c r="L199" s="107"/>
      <c r="M199" s="107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 spans="1:26" ht="15" customHeight="1">
      <c r="A200" s="15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26"/>
      <c r="Y200" s="26"/>
      <c r="Z200" s="26"/>
    </row>
    <row r="201" spans="1:26" ht="24" customHeight="1">
      <c r="A201" s="15"/>
      <c r="B201" s="61" t="s">
        <v>133</v>
      </c>
      <c r="C201" s="61"/>
      <c r="D201" s="61"/>
      <c r="E201" s="61"/>
      <c r="F201" s="61"/>
      <c r="G201" s="61"/>
      <c r="H201" s="61"/>
      <c r="I201" s="61"/>
      <c r="J201" s="61"/>
      <c r="K201" s="61"/>
      <c r="L201" s="61"/>
      <c r="M201" s="61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 spans="1:26" ht="17.25" customHeight="1">
      <c r="A202" s="15"/>
      <c r="B202" s="1" t="s">
        <v>134</v>
      </c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 spans="1:26" ht="17.25" customHeight="1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 spans="1:26" ht="21" customHeight="1">
      <c r="A204" s="15"/>
      <c r="B204" s="43" t="s">
        <v>132</v>
      </c>
      <c r="C204" s="108" t="s">
        <v>135</v>
      </c>
      <c r="D204" s="108"/>
      <c r="E204" s="108"/>
      <c r="F204" s="108"/>
      <c r="G204" s="108"/>
      <c r="H204" s="108"/>
      <c r="I204" s="108"/>
      <c r="J204" s="108"/>
      <c r="K204" s="108"/>
      <c r="L204" s="108"/>
      <c r="M204" s="108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 spans="1:26" ht="21" customHeight="1">
      <c r="A205" s="15"/>
      <c r="B205" s="44" t="s">
        <v>132</v>
      </c>
      <c r="C205" s="53" t="s">
        <v>136</v>
      </c>
      <c r="D205" s="53"/>
      <c r="E205" s="53"/>
      <c r="F205" s="53"/>
      <c r="G205" s="53"/>
      <c r="H205" s="53"/>
      <c r="I205" s="53"/>
      <c r="J205" s="53"/>
      <c r="K205" s="53"/>
      <c r="L205" s="53"/>
      <c r="M205" s="53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 spans="1:26" ht="21" customHeight="1">
      <c r="A206" s="15"/>
      <c r="B206" s="44" t="s">
        <v>132</v>
      </c>
      <c r="C206" s="52" t="s">
        <v>137</v>
      </c>
      <c r="D206" s="52"/>
      <c r="E206" s="52"/>
      <c r="F206" s="52"/>
      <c r="G206" s="52"/>
      <c r="H206" s="52"/>
      <c r="I206" s="52"/>
      <c r="J206" s="52"/>
      <c r="K206" s="52"/>
      <c r="L206" s="52"/>
      <c r="M206" s="52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 spans="1:26" ht="21" customHeight="1">
      <c r="A207" s="15"/>
      <c r="B207" s="44" t="s">
        <v>132</v>
      </c>
      <c r="C207" s="53" t="s">
        <v>138</v>
      </c>
      <c r="D207" s="53"/>
      <c r="E207" s="53"/>
      <c r="F207" s="53"/>
      <c r="G207" s="53"/>
      <c r="H207" s="53"/>
      <c r="I207" s="53"/>
      <c r="J207" s="53"/>
      <c r="K207" s="53"/>
      <c r="L207" s="53"/>
      <c r="M207" s="53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 spans="1:26" ht="21" customHeight="1">
      <c r="A208" s="15"/>
      <c r="B208" s="45" t="s">
        <v>132</v>
      </c>
      <c r="C208" s="109" t="s">
        <v>139</v>
      </c>
      <c r="D208" s="109"/>
      <c r="E208" s="109"/>
      <c r="F208" s="109"/>
      <c r="G208" s="109"/>
      <c r="H208" s="109"/>
      <c r="I208" s="109"/>
      <c r="J208" s="109"/>
      <c r="K208" s="109"/>
      <c r="L208" s="109"/>
      <c r="M208" s="109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 spans="1:26" ht="21" customHeight="1">
      <c r="A209" s="39"/>
      <c r="B209" s="45" t="s">
        <v>132</v>
      </c>
      <c r="C209" s="110" t="s">
        <v>140</v>
      </c>
      <c r="D209" s="110"/>
      <c r="E209" s="110"/>
      <c r="F209" s="110"/>
      <c r="G209" s="110"/>
      <c r="H209" s="110"/>
      <c r="I209" s="110"/>
      <c r="J209" s="110"/>
      <c r="K209" s="110"/>
      <c r="L209" s="110"/>
      <c r="M209" s="110"/>
      <c r="N209" s="39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 spans="1:26" ht="27.75" customHeight="1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 spans="1:26" ht="31.5" customHeight="1">
      <c r="A211" s="15"/>
      <c r="B211" s="69" t="s">
        <v>141</v>
      </c>
      <c r="C211" s="69"/>
      <c r="D211" s="69"/>
      <c r="E211" s="70"/>
      <c r="F211" s="70"/>
      <c r="G211" s="70"/>
      <c r="H211" s="70"/>
      <c r="I211" s="69" t="s">
        <v>142</v>
      </c>
      <c r="J211" s="69"/>
      <c r="K211" s="111"/>
      <c r="L211" s="111"/>
      <c r="M211" s="111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 spans="1:26" ht="21" customHeight="1">
      <c r="A212" s="15"/>
      <c r="B212" s="72" t="s">
        <v>143</v>
      </c>
      <c r="C212" s="72"/>
      <c r="D212" s="72"/>
      <c r="E212" s="73"/>
      <c r="F212" s="73"/>
      <c r="G212" s="73"/>
      <c r="H212" s="73"/>
      <c r="I212" s="72"/>
      <c r="J212" s="72"/>
      <c r="K212" s="46"/>
      <c r="L212" s="46"/>
      <c r="M212" s="47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 spans="1:26" ht="33.75" customHeight="1">
      <c r="A213" s="15"/>
      <c r="B213" s="64"/>
      <c r="C213" s="64"/>
      <c r="D213" s="64"/>
      <c r="E213" s="64"/>
      <c r="F213" s="64"/>
      <c r="G213" s="64"/>
      <c r="H213" s="64"/>
      <c r="I213" s="64"/>
      <c r="J213" s="64"/>
      <c r="K213" s="64"/>
      <c r="L213" s="64"/>
      <c r="M213" s="64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 spans="1:26" ht="1.5" customHeight="1">
      <c r="A214" s="15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 spans="1:26" ht="24" customHeight="1">
      <c r="A215" s="15"/>
      <c r="B215" s="61" t="s">
        <v>144</v>
      </c>
      <c r="C215" s="61"/>
      <c r="D215" s="61"/>
      <c r="E215" s="61"/>
      <c r="F215" s="61"/>
      <c r="G215" s="61"/>
      <c r="H215" s="61"/>
      <c r="I215" s="61"/>
      <c r="J215" s="61"/>
      <c r="K215" s="61"/>
      <c r="L215" s="61"/>
      <c r="M215" s="61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 spans="1:26" ht="17.25" customHeight="1">
      <c r="A216" s="15"/>
      <c r="B216" s="1" t="s">
        <v>145</v>
      </c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 spans="1:26" ht="75" customHeight="1">
      <c r="A217" s="15"/>
      <c r="B217" s="98" t="s">
        <v>146</v>
      </c>
      <c r="C217" s="98"/>
      <c r="D217" s="98"/>
      <c r="E217" s="98"/>
      <c r="F217" s="98"/>
      <c r="G217" s="98"/>
      <c r="H217" s="98"/>
      <c r="I217" s="98"/>
      <c r="J217" s="98"/>
      <c r="K217" s="98"/>
      <c r="L217" s="98"/>
      <c r="M217" s="98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 spans="1:26" ht="17.25" customHeight="1">
      <c r="A218" s="15"/>
      <c r="B218" s="98"/>
      <c r="C218" s="98"/>
      <c r="D218" s="98"/>
      <c r="E218" s="98"/>
      <c r="F218" s="98"/>
      <c r="G218" s="98"/>
      <c r="H218" s="98"/>
      <c r="I218" s="98"/>
      <c r="J218" s="98"/>
      <c r="K218" s="98"/>
      <c r="L218" s="98"/>
      <c r="M218" s="98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 spans="1:26" ht="30" customHeight="1">
      <c r="A219" s="15"/>
      <c r="B219" s="98"/>
      <c r="C219" s="98"/>
      <c r="D219" s="98"/>
      <c r="E219" s="98"/>
      <c r="F219" s="98"/>
      <c r="G219" s="98"/>
      <c r="H219" s="98"/>
      <c r="I219" s="98"/>
      <c r="J219" s="98"/>
      <c r="K219" s="98"/>
      <c r="L219" s="98"/>
      <c r="M219" s="98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 spans="1:26" ht="39" customHeight="1">
      <c r="A220" s="15"/>
      <c r="B220" s="112" t="s">
        <v>147</v>
      </c>
      <c r="C220" s="112"/>
      <c r="D220" s="112"/>
      <c r="E220" s="112"/>
      <c r="F220" s="112"/>
      <c r="G220" s="112"/>
      <c r="H220" s="112" t="s">
        <v>148</v>
      </c>
      <c r="I220" s="112"/>
      <c r="J220" s="112"/>
      <c r="K220" s="112"/>
      <c r="L220" s="112"/>
      <c r="M220" s="112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 spans="1:26" ht="21" customHeight="1">
      <c r="A221" s="15"/>
      <c r="B221" s="113" t="s">
        <v>149</v>
      </c>
      <c r="C221" s="113"/>
      <c r="D221" s="113"/>
      <c r="E221" s="113"/>
      <c r="F221" s="113"/>
      <c r="G221" s="113"/>
      <c r="H221" s="113" t="s">
        <v>150</v>
      </c>
      <c r="I221" s="113"/>
      <c r="J221" s="113"/>
      <c r="K221" s="113"/>
      <c r="L221" s="113"/>
      <c r="M221" s="113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 spans="1:26" ht="30" customHeight="1">
      <c r="A222" s="15"/>
      <c r="B222" s="114" t="s">
        <v>151</v>
      </c>
      <c r="C222" s="114"/>
      <c r="D222" s="114"/>
      <c r="E222" s="114"/>
      <c r="F222" s="114"/>
      <c r="G222" s="114"/>
      <c r="H222" s="114" t="s">
        <v>152</v>
      </c>
      <c r="I222" s="114"/>
      <c r="J222" s="114"/>
      <c r="K222" s="114"/>
      <c r="L222" s="114"/>
      <c r="M222" s="114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 spans="1:26" ht="32.25" customHeight="1">
      <c r="A223" s="15"/>
      <c r="B223" s="115" t="s">
        <v>153</v>
      </c>
      <c r="C223" s="115"/>
      <c r="D223" s="115"/>
      <c r="E223" s="115"/>
      <c r="F223" s="115"/>
      <c r="G223" s="115"/>
      <c r="H223" s="115" t="s">
        <v>154</v>
      </c>
      <c r="I223" s="115"/>
      <c r="J223" s="115"/>
      <c r="K223" s="115"/>
      <c r="L223" s="115"/>
      <c r="M223" s="1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 spans="1:26" ht="17.25" customHeight="1">
      <c r="A224" s="15"/>
      <c r="B224" s="48"/>
      <c r="C224" s="48"/>
      <c r="D224" s="48"/>
      <c r="E224" s="48"/>
      <c r="F224" s="48"/>
      <c r="G224" s="48"/>
      <c r="H224" s="48"/>
      <c r="I224" s="48"/>
      <c r="J224" s="48"/>
      <c r="K224" s="48"/>
      <c r="L224" s="48"/>
      <c r="M224" s="48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 spans="1:26" ht="17.25" customHeight="1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 spans="1:26" ht="29.25" customHeight="1">
      <c r="A226" s="15"/>
      <c r="B226" s="116" t="s">
        <v>155</v>
      </c>
      <c r="C226" s="116"/>
      <c r="D226" s="116"/>
      <c r="E226" s="116"/>
      <c r="F226" s="116"/>
      <c r="G226" s="116"/>
      <c r="H226" s="116"/>
      <c r="I226" s="116"/>
      <c r="J226" s="116"/>
      <c r="K226" s="116"/>
      <c r="L226" s="116"/>
      <c r="M226" s="116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 spans="1:26" ht="17.25" customHeight="1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 spans="1:26" ht="42.75" customHeight="1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 spans="1:26" ht="17.25" customHeight="1">
      <c r="A229" s="15"/>
      <c r="B229" s="15"/>
      <c r="C229" s="117"/>
      <c r="D229" s="117"/>
      <c r="E229" s="123" t="s">
        <v>13</v>
      </c>
      <c r="F229" s="118"/>
      <c r="G229" s="118"/>
      <c r="H229" s="118"/>
      <c r="I229" s="118"/>
      <c r="J229" s="118"/>
      <c r="K229" s="118"/>
      <c r="L229" s="119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 spans="1:26" ht="17.25" customHeight="1">
      <c r="A230" s="15"/>
      <c r="B230" s="15"/>
      <c r="C230" s="117"/>
      <c r="D230" s="117"/>
      <c r="E230" s="118"/>
      <c r="F230" s="118"/>
      <c r="G230" s="118"/>
      <c r="H230" s="118"/>
      <c r="I230" s="118"/>
      <c r="J230" s="118"/>
      <c r="K230" s="118"/>
      <c r="L230" s="119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 spans="1:26" ht="45" customHeight="1">
      <c r="A231" s="15"/>
      <c r="B231" s="15"/>
      <c r="C231" s="117"/>
      <c r="D231" s="117"/>
      <c r="E231" s="118"/>
      <c r="F231" s="118"/>
      <c r="G231" s="118"/>
      <c r="H231" s="118"/>
      <c r="I231" s="118"/>
      <c r="J231" s="118"/>
      <c r="K231" s="118"/>
      <c r="L231" s="119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 spans="1:26" ht="17.25" customHeight="1">
      <c r="A232" s="15"/>
      <c r="B232" s="15"/>
      <c r="C232" s="117"/>
      <c r="D232" s="117"/>
      <c r="E232" s="118"/>
      <c r="F232" s="118"/>
      <c r="G232" s="118"/>
      <c r="H232" s="118"/>
      <c r="I232" s="118"/>
      <c r="J232" s="118"/>
      <c r="K232" s="118"/>
      <c r="L232" s="119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 spans="1:26" ht="105" customHeight="1">
      <c r="A233" s="15"/>
      <c r="B233" s="15"/>
      <c r="C233" s="15"/>
      <c r="D233" s="15"/>
      <c r="E233" s="120" t="s">
        <v>156</v>
      </c>
      <c r="F233" s="120"/>
      <c r="G233" s="120"/>
      <c r="H233" s="120"/>
      <c r="I233" s="120"/>
      <c r="J233" s="120"/>
      <c r="K233" s="120"/>
      <c r="L233" s="121"/>
      <c r="M233" s="121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 spans="1:26" ht="17.25" customHeight="1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 spans="1:26" ht="21" customHeight="1">
      <c r="A235" s="15"/>
      <c r="B235" s="122" t="s">
        <v>157</v>
      </c>
      <c r="C235" s="122"/>
      <c r="D235" s="122"/>
      <c r="E235" s="122"/>
      <c r="F235" s="122"/>
      <c r="G235" s="122"/>
      <c r="H235" s="122"/>
      <c r="I235" s="122"/>
      <c r="J235" s="122"/>
      <c r="K235" s="122"/>
      <c r="L235" s="122"/>
      <c r="M235" s="122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 spans="1:26" ht="15" customHeight="1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 spans="1:26" ht="15" customHeight="1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 spans="1:26" ht="15" customHeight="1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 spans="1:26" ht="15" customHeight="1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 spans="1:26" ht="62.25" customHeight="1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 spans="1:26" ht="15" customHeight="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 spans="1:26" ht="15" customHeight="1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 spans="1:26" ht="15" customHeight="1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 spans="1:26" ht="15" customHeight="1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 spans="1:26" ht="15" customHeight="1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 spans="1:26" ht="15" customHeight="1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 spans="1:26" ht="15" customHeight="1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 spans="1:26" ht="15" customHeight="1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 spans="1:26" ht="15" customHeight="1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 spans="1:26" ht="15" customHeight="1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 spans="1:26" ht="15" customHeight="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 spans="1:26" ht="15" customHeight="1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 spans="1:26" ht="15" customHeight="1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 spans="1:26" ht="15" hidden="1" customHeight="1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 spans="1:26" ht="15" hidden="1" customHeight="1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 spans="1:26" ht="15" hidden="1" customHeight="1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 spans="1:26" ht="15" hidden="1" customHeight="1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 spans="1:26" ht="15" hidden="1" customHeight="1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 spans="1:26" ht="15" hidden="1" customHeight="1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 spans="1:26" ht="15" hidden="1" customHeight="1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 spans="1:26" ht="15" hidden="1" customHeight="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 spans="1:26" ht="15" hidden="1" customHeight="1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 spans="1:26" ht="15" hidden="1" customHeight="1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 spans="1:26" ht="15" hidden="1" customHeight="1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 spans="1:26" ht="15" hidden="1" customHeight="1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 spans="1:26" ht="15" hidden="1" customHeight="1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 spans="1:26" ht="15" hidden="1" customHeight="1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 spans="1:26" ht="15" hidden="1" customHeight="1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 spans="1:26" ht="15" hidden="1" customHeight="1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 spans="1:26" ht="15" hidden="1" customHeight="1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 spans="1:26" ht="15" hidden="1" customHeight="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 spans="1:26" ht="15" hidden="1" customHeight="1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 spans="1:26" ht="15" hidden="1" customHeight="1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 spans="1:26" ht="15" hidden="1" customHeight="1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 spans="1:26" ht="15" hidden="1" customHeight="1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 spans="1:26" ht="15" hidden="1" customHeight="1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 spans="1:26" ht="15" hidden="1" customHeight="1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 spans="1:26" ht="15" hidden="1" customHeight="1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 spans="1:26" ht="15" hidden="1" customHeight="1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 spans="1:26" ht="15" hidden="1" customHeight="1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 spans="1:26" ht="15" hidden="1" customHeight="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 spans="1:26" ht="15" hidden="1" customHeight="1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 spans="1:26" ht="15" hidden="1" customHeight="1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 spans="1:26" ht="15" hidden="1" customHeight="1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 spans="1:26" ht="15" hidden="1" customHeight="1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 spans="1:26" ht="15" hidden="1" customHeight="1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 spans="1:26" ht="15" hidden="1" customHeight="1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 spans="1:26" ht="15" hidden="1" customHeight="1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 spans="1:26" ht="15" hidden="1" customHeight="1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 spans="1:26" ht="15" hidden="1" customHeight="1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 spans="1:26" ht="15" hidden="1" customHeight="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 spans="1:26" ht="15" hidden="1" customHeight="1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 spans="1:26" ht="15" hidden="1" customHeight="1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 spans="1:26" ht="15" hidden="1" customHeight="1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 spans="1:26" ht="15" hidden="1" customHeight="1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 spans="1:26" ht="15" hidden="1" customHeight="1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 spans="1:26" ht="15" hidden="1" customHeight="1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 spans="1:26" ht="15" hidden="1" customHeight="1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 spans="1:26" ht="15" hidden="1" customHeight="1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 spans="1:26" ht="15" hidden="1" customHeight="1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 spans="1:26" ht="15" hidden="1" customHeight="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 spans="1:26" ht="15" hidden="1" customHeight="1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 spans="1:26" ht="15" hidden="1" customHeight="1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 spans="1:26" ht="15" hidden="1" customHeight="1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 spans="1:26" ht="15" hidden="1" customHeight="1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 spans="1:26" ht="15" hidden="1" customHeight="1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 spans="1:26" ht="15" hidden="1" customHeight="1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 spans="1:26" ht="15" hidden="1" customHeight="1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 spans="1:26" ht="15" hidden="1" customHeight="1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 spans="1:26" ht="15" hidden="1" customHeight="1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 spans="1:26" ht="15" hidden="1" customHeight="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 spans="1:26" ht="15" hidden="1" customHeight="1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 spans="1:26" ht="15" hidden="1" customHeight="1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 spans="1:26" ht="15" customHeight="1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 spans="1:26" ht="15" customHeight="1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 spans="1:26" ht="15" customHeight="1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 spans="1:26" ht="15" customHeight="1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 spans="1:26" ht="15" customHeight="1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 spans="1:26" ht="15" customHeight="1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 spans="1:26" ht="15" customHeight="1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 spans="1:26" ht="15" customHeight="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 spans="1:26" ht="15" customHeight="1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 spans="1:26" ht="15" customHeight="1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 spans="1:26" ht="15" customHeight="1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 spans="1:26" ht="15" customHeight="1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 spans="1:26" ht="15" customHeight="1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 spans="1:26" ht="15" customHeight="1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 spans="1:26" ht="15" customHeight="1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 spans="1:26" ht="15" customHeight="1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 spans="1:26" ht="15" customHeight="1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 spans="1:26" ht="15" customHeight="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 spans="1:26" ht="15" customHeight="1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 spans="1:26" ht="15" customHeight="1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 spans="1:26" ht="15" customHeight="1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 spans="1:26" ht="15" customHeight="1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 spans="1:26" ht="15" customHeight="1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 spans="1:26" ht="15" customHeight="1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 spans="1:26" ht="15" customHeight="1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 spans="1:26" ht="15" customHeight="1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 spans="1:26" ht="15" customHeight="1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 spans="1:26" ht="15" customHeight="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 spans="1:26" ht="15" customHeight="1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 spans="1:26" ht="15" customHeight="1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 spans="1:26" ht="15" customHeight="1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 spans="1:26" ht="15" customHeight="1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 spans="1:26" ht="15" customHeight="1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 spans="1:26" ht="15" customHeight="1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 spans="1:26" ht="15" customHeight="1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 spans="1:26" ht="15" customHeight="1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 spans="1:26" ht="15" customHeight="1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 spans="1:26" ht="15" customHeight="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 spans="1:26" ht="15" customHeight="1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 spans="1:26" ht="15" customHeight="1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 spans="1:26" ht="15" customHeight="1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 spans="1:26" ht="15" customHeight="1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 spans="1:26" ht="15" customHeight="1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 spans="1:26" ht="15" customHeight="1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 spans="1:26" ht="15" customHeight="1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 spans="1:26" ht="15" customHeight="1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 spans="1:26" ht="15" customHeight="1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 spans="1:26" ht="15" customHeight="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 spans="1:26" ht="15" customHeight="1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 spans="1:26" ht="15" customHeight="1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 spans="1:26" ht="15" customHeight="1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 spans="1:26" ht="15" customHeight="1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 spans="1:26" ht="15" customHeight="1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 spans="1:26" ht="15" customHeight="1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 spans="1:26" ht="15" customHeight="1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 spans="1:26" ht="15" customHeight="1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 spans="1:26" ht="15" customHeight="1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 spans="1:26" ht="15" customHeight="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 spans="1:26" ht="15" customHeight="1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 spans="1:26" ht="15" customHeight="1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 spans="1:26" ht="15" customHeight="1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 spans="1:26" ht="15" customHeight="1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 spans="1:26" ht="15" customHeight="1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 spans="1:26" ht="15" customHeight="1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 spans="1:26" ht="15" customHeight="1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 spans="1:26" ht="15" customHeight="1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 spans="1:26" ht="15" customHeight="1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 spans="1:26" ht="15" customHeight="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 spans="1:26" ht="15" customHeight="1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 spans="1:26" ht="15" customHeight="1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 spans="1:26" ht="15" customHeight="1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 spans="1:26" ht="15" customHeight="1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 spans="1:26" ht="15" customHeight="1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 spans="1:26" ht="15" customHeight="1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 spans="1:26" ht="15" customHeight="1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 spans="1:26" ht="15" customHeight="1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 spans="1:26" ht="15" customHeight="1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 spans="1:26" ht="15" customHeight="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 spans="1:26" ht="15" customHeight="1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 spans="1:26" ht="15" customHeight="1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 spans="1:26" ht="15" customHeight="1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 spans="1:26" ht="15" customHeight="1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 spans="1:26" ht="15" customHeight="1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 spans="1:26" ht="15" customHeight="1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 spans="1:26" ht="15" customHeight="1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 spans="1:26" ht="15" customHeight="1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 spans="1:26" ht="15" customHeight="1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 spans="1:26" ht="15" customHeight="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 spans="1:26" ht="15" customHeight="1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 spans="1:26" ht="15" customHeight="1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 spans="1:26" ht="15" customHeight="1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 spans="1:26" ht="15" customHeight="1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 spans="1:26" ht="15" customHeight="1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 spans="1:26" ht="15" customHeight="1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 spans="1:26" ht="15" customHeight="1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 spans="1:26" ht="15" customHeight="1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 spans="1:26" ht="15" customHeight="1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 spans="1:26" ht="15" customHeight="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 spans="1:26" ht="15" customHeight="1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 spans="1:26" ht="15" customHeight="1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 spans="1:26" ht="15" customHeight="1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 spans="1:26" ht="15" customHeight="1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 spans="1:26" ht="15" customHeight="1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 spans="1:26" ht="15" customHeight="1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 spans="1:26" ht="15" customHeight="1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 spans="1:26" ht="15" customHeight="1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 spans="1:26" ht="15" customHeight="1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 spans="1:26" ht="15" customHeight="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 spans="1:26" ht="15" customHeight="1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 spans="1:26" ht="15" customHeight="1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 spans="1:26" ht="15" customHeight="1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 spans="1:26" ht="15" customHeight="1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 spans="1:26" ht="15" customHeight="1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 spans="1:26" ht="15" customHeight="1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 spans="1:26" ht="15" customHeight="1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 spans="1:26" ht="15" customHeight="1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 spans="1:26" ht="15" customHeight="1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 spans="1:26" ht="15" customHeight="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 spans="1:26" ht="15" customHeight="1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 spans="1:26" ht="15" customHeight="1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 spans="1:26" ht="15" customHeight="1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 spans="1:26" ht="15" customHeight="1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 spans="1:26" ht="15" customHeight="1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 spans="1:26" ht="15" customHeight="1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 spans="1:26" ht="15" customHeight="1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 spans="1:26" ht="15" customHeight="1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 spans="1:26" ht="15" customHeight="1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 spans="1:26" ht="15" customHeight="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 spans="1:26" ht="15" customHeight="1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 spans="1:26" ht="15" customHeight="1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 spans="1:26" ht="15" customHeight="1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 spans="1:26" ht="15" customHeight="1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 spans="1:26" ht="15" customHeight="1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 spans="1:26" ht="15" customHeight="1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 spans="1:26" ht="15" customHeight="1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 spans="1:26" ht="15" customHeight="1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 spans="1:26" ht="15" customHeight="1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 spans="1:26" ht="15" customHeight="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 spans="1:26" ht="15" customHeight="1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 spans="1:26" ht="15" customHeight="1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 spans="1:26" ht="15" customHeight="1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 spans="1:26" ht="15" customHeight="1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 spans="1:26" ht="15" customHeight="1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 spans="1:26" ht="15" customHeight="1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 spans="1:26" ht="15" customHeight="1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 spans="1:26" ht="15" customHeight="1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 spans="1:26" ht="15" customHeight="1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 spans="1:26" ht="15" customHeight="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 spans="1:26" ht="15" customHeight="1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 spans="1:26" ht="15" customHeight="1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 spans="1:26" ht="15" customHeight="1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 spans="1:26" ht="15" customHeight="1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 spans="1:26" ht="15" customHeight="1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 spans="1:26" ht="15" customHeight="1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 spans="1:26" ht="15" customHeight="1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 spans="1:26" ht="15" customHeight="1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 spans="1:26" ht="15" customHeight="1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 spans="1:26" ht="15" customHeight="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 spans="1:26" ht="15" customHeight="1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 spans="1:26" ht="15" customHeight="1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 spans="1:26" ht="15" customHeight="1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 spans="1:26" ht="15" customHeight="1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 spans="1:26" ht="15" customHeight="1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 spans="1:26" ht="15" customHeight="1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 spans="1:26" ht="15" customHeight="1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 spans="1:26" ht="15" customHeight="1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 spans="1:26" ht="15" customHeight="1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 spans="1:26" ht="15" customHeight="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 spans="1:26" ht="15" customHeight="1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 spans="1:26" ht="15" customHeight="1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 spans="1:26" ht="15" customHeight="1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 spans="1:26" ht="15" customHeight="1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 spans="1:26" ht="15" customHeight="1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 spans="1:26" ht="15" customHeight="1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 spans="1:26" ht="15" customHeight="1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 spans="1:26" ht="15" customHeight="1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 spans="1:26" ht="15" customHeight="1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 spans="1:26" ht="15" customHeight="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 spans="1:26" ht="15" customHeight="1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 spans="1:26" ht="15" customHeight="1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 spans="1:26" ht="15" customHeight="1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 spans="1:26" ht="15" customHeight="1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 spans="1:26" ht="15" customHeight="1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 spans="1:26" ht="15" customHeight="1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 spans="1:26" ht="15" customHeight="1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 spans="1:26" ht="15" customHeight="1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 spans="1:26" ht="15" customHeight="1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 spans="1:26" ht="15" customHeight="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 spans="1:26" ht="15" customHeight="1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 spans="1:26" ht="15" customHeight="1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 spans="1:26" ht="15" customHeight="1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 spans="1:26" ht="15" customHeight="1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 spans="1:26" ht="15" customHeight="1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 spans="1:26" ht="15" customHeight="1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 spans="1:26" ht="15" customHeight="1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 spans="1:26" ht="15" customHeight="1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 spans="1:26" ht="15" customHeight="1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 spans="1:26" ht="15" customHeight="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 spans="1:26" ht="15" customHeight="1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 spans="1:26" ht="15" customHeight="1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 spans="1:26" ht="15" customHeight="1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 spans="1:26" ht="15" customHeight="1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 spans="1:26" ht="15" customHeight="1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 spans="1:26" ht="15" customHeight="1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 spans="1:26" ht="15" customHeight="1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 spans="1:26" ht="15" customHeight="1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 spans="1:26" ht="15" customHeight="1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 spans="1:26" ht="15" customHeight="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 spans="1:26" ht="15" customHeight="1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 spans="1:26" ht="15" customHeight="1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 spans="1:26" ht="15" customHeight="1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 spans="1:26" ht="15" customHeight="1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 spans="1:26" ht="15" customHeight="1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 spans="1:26" ht="15" customHeight="1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 spans="1:26" ht="15" customHeight="1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 spans="1:26" ht="15" customHeight="1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 spans="1:26" ht="15" customHeight="1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 spans="1:26" ht="15" customHeight="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 spans="1:26" ht="15" customHeight="1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 spans="1:26" ht="15" customHeight="1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 spans="1:26" ht="15" customHeight="1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 spans="1:26" ht="15" customHeight="1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 spans="1:26" ht="15" customHeight="1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 spans="1:26" ht="15" customHeight="1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</row>
    <row r="538" spans="1:26" ht="15" customHeight="1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 spans="1:26" ht="15" customHeight="1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</row>
    <row r="540" spans="1:26" ht="15" customHeight="1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 spans="1:26" ht="15" customHeight="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</row>
    <row r="542" spans="1:26" ht="15" customHeight="1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 spans="1:26" ht="15" customHeight="1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</row>
    <row r="544" spans="1:26" ht="15" customHeight="1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 spans="1:26" ht="15" customHeight="1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</row>
    <row r="546" spans="1:26" ht="15" customHeight="1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 spans="1:26" ht="15" customHeight="1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 spans="1:26" ht="15" customHeight="1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 spans="1:26" ht="15" customHeight="1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 spans="1:26" ht="15" customHeight="1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 spans="1:26" ht="15" customHeight="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</row>
    <row r="552" spans="1:26" ht="15" customHeight="1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 spans="1:26" ht="15" customHeight="1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 spans="1:26" ht="15" customHeight="1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 spans="1:26" ht="15" customHeight="1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 spans="1:26" ht="15" customHeight="1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 spans="1:26" ht="15" customHeight="1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 spans="1:26" ht="15" customHeight="1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 spans="1:26" ht="15" customHeight="1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</row>
    <row r="560" spans="1:26" ht="15" customHeight="1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 spans="1:26" ht="15" customHeight="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 spans="1:26" ht="15" customHeight="1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 spans="1:26" ht="15" customHeight="1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</row>
    <row r="564" spans="1:26" ht="15" customHeight="1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 spans="1:26" ht="15" customHeight="1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 spans="1:26" ht="15" customHeight="1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 spans="1:26" ht="15" customHeight="1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 spans="1:26" ht="15" customHeight="1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 spans="1:26" ht="15" customHeight="1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</row>
    <row r="570" spans="1:26" ht="15" customHeight="1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 spans="1:26" ht="15" customHeight="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</row>
    <row r="572" spans="1:26" ht="15" customHeight="1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 spans="1:26" ht="15" customHeight="1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 spans="1:26" ht="15" customHeight="1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 spans="1:26" ht="15" customHeight="1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</row>
    <row r="576" spans="1:26" ht="15" customHeight="1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 spans="1:26" ht="15" customHeight="1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</row>
    <row r="578" spans="1:26" ht="15" customHeight="1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 spans="1:26" ht="15" customHeight="1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</row>
    <row r="580" spans="1:26" ht="15" customHeight="1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 spans="1:26" ht="15" customHeight="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</row>
    <row r="582" spans="1:26" ht="15" customHeight="1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 spans="1:26" ht="15" customHeight="1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</row>
    <row r="584" spans="1:26" ht="15" customHeight="1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 spans="1:26" ht="15" customHeight="1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 spans="1:26" ht="15" customHeight="1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 spans="1:26" ht="15" customHeight="1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</row>
    <row r="588" spans="1:26" ht="15" customHeight="1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 spans="1:26" ht="15" customHeight="1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</row>
    <row r="590" spans="1:26" ht="15" customHeight="1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 spans="1:26" ht="15" customHeight="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</row>
    <row r="592" spans="1:26" ht="15" customHeight="1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 spans="1:26" ht="15" customHeight="1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 spans="1:26" ht="15" customHeight="1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 spans="1:26" ht="15" customHeight="1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 spans="1:26" ht="15" customHeight="1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 spans="1:26" ht="15" customHeight="1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 spans="1:26" ht="15" customHeight="1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 spans="1:26" ht="15" customHeight="1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 spans="1:26" ht="15" customHeight="1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 spans="1:26" ht="15" customHeight="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 spans="1:26" ht="15" customHeight="1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 spans="1:26" ht="15" customHeight="1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</row>
    <row r="604" spans="1:26" ht="15" customHeight="1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 spans="1:26" ht="15" customHeight="1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</row>
    <row r="606" spans="1:26" ht="15" customHeight="1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 spans="1:26" ht="15" customHeight="1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 spans="1:26" ht="15" customHeight="1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 spans="1:26" ht="15" customHeight="1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 spans="1:26" ht="15" customHeight="1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 spans="1:26" ht="15" customHeight="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 spans="1:26" ht="15" customHeight="1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 spans="1:26" ht="15" customHeight="1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 spans="1:26" ht="15" customHeight="1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 spans="1:26" ht="15" customHeight="1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 spans="1:26" ht="15" customHeight="1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 spans="1:26" ht="15" customHeight="1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 spans="1:26" ht="15" customHeight="1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 spans="1:26" ht="15" customHeight="1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 spans="1:26" ht="15" customHeight="1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 spans="1:26" ht="15" customHeight="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 spans="1:26" ht="15" customHeight="1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 spans="1:26" ht="15" customHeight="1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 spans="1:26" ht="15" customHeight="1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 spans="1:26" ht="15" customHeight="1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 spans="1:26" ht="15" customHeight="1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 spans="1:26" ht="15" customHeight="1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 spans="1:26" ht="15" customHeight="1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 spans="1:26" ht="15" customHeight="1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</row>
    <row r="630" spans="1:26" ht="15" customHeight="1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 spans="1:26" ht="15" customHeight="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 spans="1:26" ht="15" customHeight="1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 spans="1:26" ht="15" customHeight="1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 spans="1:26" ht="15" customHeight="1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 spans="1:26" ht="15" customHeight="1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 spans="1:26" ht="15" customHeight="1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 spans="1:26" ht="15" customHeight="1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 spans="1:26" ht="15" customHeight="1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 spans="1:26" ht="15" customHeight="1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 spans="1:26" ht="15" customHeight="1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 spans="1:26" ht="15" customHeight="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 spans="1:26" ht="15" customHeight="1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 spans="1:26" ht="15" customHeight="1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</row>
    <row r="644" spans="1:26" ht="15" customHeight="1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 spans="1:26" ht="15" customHeight="1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 spans="1:26" ht="15" customHeight="1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 spans="1:26" ht="15" customHeight="1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 spans="1:26" ht="15" customHeight="1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 spans="1:26" ht="15" customHeight="1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 spans="1:26" ht="15" customHeight="1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 spans="1:26" ht="15" customHeight="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</row>
    <row r="652" spans="1:26" ht="15" customHeight="1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 spans="1:26" ht="15" customHeight="1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</row>
    <row r="654" spans="1:26" ht="15" customHeight="1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 spans="1:26" ht="15" customHeight="1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 spans="1:26" ht="15" customHeight="1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 spans="1:26" ht="15" customHeight="1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 spans="1:26" ht="15" customHeight="1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 spans="1:26" ht="15" customHeight="1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 spans="1:26" ht="15" customHeight="1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 spans="1:26" ht="15" customHeight="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 spans="1:26" ht="15" customHeight="1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 spans="1:26" ht="15" customHeight="1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 spans="1:26" ht="15" customHeight="1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 spans="1:26" ht="15" customHeight="1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 spans="1:26" ht="15" customHeight="1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 spans="1:26" ht="15" customHeight="1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 spans="1:26" ht="15" customHeight="1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 spans="1:26" ht="15" customHeight="1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 spans="1:26" ht="15" customHeight="1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 spans="1:26" ht="15" customHeight="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</row>
    <row r="672" spans="1:26" ht="15" customHeight="1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 spans="1:26" ht="15" customHeight="1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 spans="1:26" ht="15" customHeight="1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 spans="1:26" ht="15" customHeight="1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 spans="1:26" ht="15" customHeight="1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 spans="1:26" ht="15" customHeight="1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</row>
    <row r="678" spans="1:26" ht="15" customHeight="1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 spans="1:26" ht="15" customHeight="1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</row>
    <row r="680" spans="1:26" ht="15" customHeight="1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 spans="1:26" ht="15" customHeight="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 spans="1:26" ht="15" customHeight="1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 spans="1:26" ht="15" customHeight="1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 spans="1:26" ht="15" customHeight="1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 spans="1:26" ht="15" customHeight="1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 spans="1:26" ht="15" customHeight="1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 spans="1:26" ht="15" customHeight="1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</row>
    <row r="688" spans="1:26" ht="15" customHeight="1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 spans="1:26" ht="15" customHeight="1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 spans="1:26" ht="15" customHeight="1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 spans="1:26" ht="15" customHeight="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 spans="1:26" ht="15" customHeight="1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 spans="1:26" ht="15" customHeight="1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 spans="1:26" ht="15" customHeight="1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 spans="1:26" ht="15" customHeight="1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 spans="1:26" ht="15" customHeight="1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 spans="1:26" ht="15" customHeight="1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 spans="1:26" ht="15" customHeight="1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 spans="1:26" ht="15" customHeight="1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 spans="1:26" ht="15" customHeight="1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 spans="1:26" ht="15" customHeight="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 spans="1:26" ht="15" customHeight="1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 spans="1:26" ht="15" customHeight="1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 spans="1:26" ht="15" customHeight="1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 spans="1:26" ht="15" customHeight="1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 spans="1:26" ht="15" customHeight="1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 spans="1:26" ht="15" customHeight="1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 spans="1:26" ht="15" customHeight="1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 spans="1:26" ht="15" customHeight="1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 spans="1:26" ht="15" customHeight="1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 spans="1:26" ht="15" customHeight="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 spans="1:26" ht="15" customHeight="1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 spans="1:26" ht="15" customHeight="1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 spans="1:26" ht="15" customHeight="1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 spans="1:26" ht="15" customHeight="1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 spans="1:26" ht="15" customHeight="1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 spans="1:26" ht="15" customHeight="1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</row>
    <row r="718" spans="1:26" ht="15" customHeight="1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 spans="1:26" ht="15" customHeight="1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</row>
    <row r="720" spans="1:26" ht="15" customHeight="1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 spans="1:26" ht="15" customHeight="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 spans="1:26" ht="15" customHeight="1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 spans="1:26" ht="15" customHeight="1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 spans="1:26" ht="15" customHeight="1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 spans="1:26" ht="15" customHeight="1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 spans="1:26" ht="15" customHeight="1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 spans="1:26" ht="15" customHeight="1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 spans="1:26" ht="15" customHeight="1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 spans="1:26" ht="15" customHeight="1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 spans="1:26" ht="15" customHeight="1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 spans="1:26" ht="15" customHeight="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 spans="1:26" ht="15" customHeight="1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 spans="1:26" ht="15" customHeight="1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 spans="1:26" ht="15" customHeight="1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 spans="1:26" ht="15" customHeight="1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 spans="1:26" ht="15" customHeight="1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 spans="1:26" ht="15" customHeight="1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 spans="1:26" ht="15" customHeight="1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 spans="1:26" ht="15" customHeight="1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 spans="1:26" ht="15" customHeight="1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 spans="1:26" ht="15" customHeight="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 spans="1:26" ht="15" customHeight="1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 spans="1:26" ht="15" customHeight="1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 spans="1:26" ht="15" customHeight="1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 spans="1:26" ht="15" customHeight="1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 spans="1:26" ht="15" customHeight="1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 spans="1:26" ht="15" customHeight="1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 spans="1:26" ht="15" customHeight="1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 spans="1:26" ht="15" customHeight="1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 spans="1:26" ht="15" customHeight="1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 spans="1:26" ht="15" customHeight="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 spans="1:26" ht="15" customHeight="1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 spans="1:26" ht="15" customHeight="1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 spans="1:26" ht="15" customHeight="1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 spans="1:26" ht="15" customHeight="1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 spans="1:26" ht="15" customHeight="1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 spans="1:26" ht="15" customHeight="1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 spans="1:26" ht="15" customHeight="1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 spans="1:26" ht="15" customHeight="1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 spans="1:26" ht="15" customHeight="1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 spans="1:26" ht="15" customHeight="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 spans="1:26" ht="15" customHeight="1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 spans="1:26" ht="15" customHeight="1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 spans="1:26" ht="15" customHeight="1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 spans="1:26" ht="15" customHeight="1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 spans="1:26" ht="15" customHeight="1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 spans="1:26" ht="15" customHeight="1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 spans="1:26" ht="15" customHeight="1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 spans="1:26" ht="15" customHeight="1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 spans="1:26" ht="15" customHeight="1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 spans="1:26" ht="15" customHeight="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 spans="1:26" ht="15" customHeight="1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 spans="1:26" ht="15" customHeight="1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</row>
    <row r="774" spans="1:26" ht="15" customHeight="1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 spans="1:26" ht="15" customHeight="1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 spans="1:26" ht="15" customHeight="1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 spans="1:26" ht="15" customHeight="1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 spans="1:26" ht="15" customHeight="1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 spans="1:26" ht="15" customHeight="1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 spans="1:26" ht="15" customHeight="1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 spans="1:26" ht="15" customHeight="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 spans="1:26" ht="15" customHeight="1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 spans="1:26" ht="15" customHeight="1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</row>
    <row r="784" spans="1:26" ht="15" customHeight="1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 spans="1:26" ht="15" customHeight="1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 spans="1:26" ht="15" customHeight="1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 spans="1:26" ht="15" customHeight="1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 spans="1:26" ht="15" customHeight="1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 spans="1:26" ht="15" customHeight="1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</row>
    <row r="790" spans="1:26" ht="15" customHeight="1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 spans="1:26" ht="15" customHeight="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 spans="1:26" ht="15" customHeight="1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 spans="1:26" ht="15" customHeight="1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</row>
    <row r="794" spans="1:26" ht="15" customHeight="1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 spans="1:26" ht="15" customHeight="1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</row>
    <row r="796" spans="1:26" ht="15" customHeight="1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 spans="1:26" ht="15" customHeight="1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</row>
    <row r="798" spans="1:26" ht="15" customHeight="1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 spans="1:26" ht="15" customHeight="1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</row>
    <row r="800" spans="1:26" ht="15" customHeight="1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 spans="1:26" ht="15" customHeight="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 spans="1:26" ht="15" customHeight="1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 spans="1:26" ht="15" customHeight="1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 spans="1:26" ht="15" customHeight="1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 spans="1:26" ht="15" customHeight="1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 spans="1:26" ht="15" customHeight="1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 spans="1:26" ht="15" customHeight="1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 spans="1:26" ht="15" customHeight="1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 spans="1:26" ht="15" customHeight="1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 spans="1:26" ht="15" customHeight="1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 spans="1:26" ht="15" customHeight="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</row>
    <row r="812" spans="1:26" ht="15" customHeight="1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 spans="1:26" ht="15" customHeight="1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</row>
    <row r="814" spans="1:26" ht="15" customHeight="1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 spans="1:26" ht="15" customHeight="1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</row>
    <row r="816" spans="1:26" ht="15" customHeight="1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 spans="1:26" ht="15" customHeight="1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</row>
    <row r="818" spans="1:26" ht="15" customHeight="1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 spans="1:26" ht="15" customHeight="1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</row>
    <row r="820" spans="1:26" ht="15" customHeight="1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 spans="1:26" ht="15" customHeight="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 spans="1:26" ht="15" customHeight="1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 spans="1:26" ht="15" customHeight="1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 spans="1:26" ht="15" customHeight="1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 spans="1:26" ht="15" customHeight="1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</row>
    <row r="826" spans="1:26" ht="15" customHeight="1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 spans="1:26" ht="15" customHeight="1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</row>
    <row r="828" spans="1:26" ht="15" customHeight="1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 spans="1:26" ht="15" customHeight="1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</row>
    <row r="830" spans="1:26" ht="15" customHeight="1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 spans="1:26" ht="15" customHeight="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</row>
    <row r="832" spans="1:26" ht="15" customHeight="1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 spans="1:26" ht="15" customHeight="1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 spans="1:26" ht="15" customHeight="1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 spans="1:26" ht="15" customHeight="1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</row>
    <row r="836" spans="1:26" ht="15" customHeight="1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 spans="1:26" ht="15" customHeight="1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</row>
    <row r="838" spans="1:26" ht="15" customHeight="1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 spans="1:26" ht="15" customHeight="1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</row>
    <row r="840" spans="1:26" ht="15" customHeight="1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 spans="1:26" ht="15" customHeight="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</row>
    <row r="842" spans="1:26" ht="15" customHeight="1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 spans="1:26" ht="15" customHeight="1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</row>
    <row r="844" spans="1:26" ht="15" customHeight="1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 spans="1:26" ht="15" customHeight="1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 spans="1:26" ht="15" customHeight="1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 spans="1:26" ht="15" customHeight="1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</row>
    <row r="848" spans="1:26" ht="15" customHeight="1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 spans="1:26" ht="15" customHeight="1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 spans="1:26" ht="15" customHeight="1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 spans="1:26" ht="15" customHeight="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</row>
    <row r="852" spans="1:26" ht="15" customHeight="1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 spans="1:26" ht="15" customHeight="1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 spans="1:26" ht="15" customHeight="1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 spans="1:26" ht="15" customHeight="1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 spans="1:26" ht="15" customHeight="1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 spans="1:26" ht="15" customHeight="1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 spans="1:26" ht="15" customHeight="1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 spans="1:26" ht="15" customHeight="1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 spans="1:26" ht="15" customHeight="1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 spans="1:26" ht="15" customHeight="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</row>
    <row r="862" spans="1:26" ht="15" customHeight="1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 spans="1:26" ht="15" customHeight="1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 spans="1:26" ht="15" customHeight="1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 spans="1:26" ht="15" customHeight="1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 spans="1:26" ht="15" customHeight="1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 spans="1:26" ht="15" customHeight="1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 spans="1:26" ht="15" customHeight="1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 spans="1:26" ht="15" customHeight="1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 spans="1:26" ht="15" customHeight="1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 spans="1:26" ht="15" customHeight="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 spans="1:26" ht="15" customHeight="1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 spans="1:26" ht="15" customHeight="1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 spans="1:26" ht="15" customHeight="1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 spans="1:26" ht="15" customHeight="1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 spans="1:26" ht="15" customHeight="1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 spans="1:26" ht="15" customHeight="1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</row>
    <row r="878" spans="1:26" ht="15" customHeight="1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 spans="1:26" ht="15" customHeight="1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</row>
    <row r="880" spans="1:26" ht="15" customHeight="1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 spans="1:26" ht="15" customHeight="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</row>
    <row r="882" spans="1:26" ht="15" customHeight="1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 spans="1:26" ht="15" customHeight="1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</row>
    <row r="884" spans="1:26" ht="15" customHeight="1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 spans="1:26" ht="15" customHeight="1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</row>
    <row r="886" spans="1:26" ht="15" customHeight="1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 spans="1:26" ht="15" customHeight="1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</row>
    <row r="888" spans="1:26" ht="15" customHeight="1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 spans="1:26" ht="15" customHeight="1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</row>
    <row r="890" spans="1:26" ht="15" customHeight="1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 spans="1:26" ht="15" customHeight="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</row>
    <row r="892" spans="1:26" ht="15" customHeight="1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 spans="1:26" ht="15" customHeight="1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</row>
    <row r="894" spans="1:26" ht="15" customHeight="1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 spans="1:26" ht="15" customHeight="1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</row>
    <row r="896" spans="1:26" ht="15" customHeight="1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 spans="1:26" ht="15" customHeight="1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</row>
    <row r="898" spans="1:26" ht="15" customHeight="1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 spans="1:26" ht="15" customHeight="1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</row>
    <row r="900" spans="1:26" ht="15" customHeight="1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 spans="1:26" ht="15" customHeight="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</row>
    <row r="902" spans="1:26" ht="15" customHeight="1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 spans="1:26" ht="15" customHeight="1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</row>
    <row r="904" spans="1:26" ht="15" customHeight="1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 spans="1:26" ht="15" customHeight="1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</row>
    <row r="906" spans="1:26" ht="15" customHeight="1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 spans="1:26" ht="15" customHeight="1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</row>
    <row r="908" spans="1:26" ht="15" customHeight="1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 spans="1:26" ht="15" customHeight="1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</row>
    <row r="910" spans="1:26" ht="15" customHeight="1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 spans="1:26" ht="15" customHeight="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</row>
    <row r="912" spans="1:26" ht="15" customHeight="1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 spans="1:26" ht="15" customHeight="1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</row>
    <row r="914" spans="1:26" ht="15" customHeight="1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 spans="1:26" ht="15" customHeight="1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</row>
    <row r="916" spans="1:26" ht="15" customHeight="1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 spans="1:26" ht="15" customHeight="1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</row>
    <row r="918" spans="1:26" ht="15" customHeight="1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 spans="1:26" ht="15" customHeight="1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</row>
    <row r="920" spans="1:26" ht="15" customHeight="1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 spans="1:26" ht="15" customHeight="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</row>
    <row r="922" spans="1:26" ht="15" customHeight="1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 spans="1:26" ht="15" customHeight="1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</row>
    <row r="924" spans="1:26" ht="15" customHeight="1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 spans="1:26" ht="15" customHeight="1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</row>
    <row r="926" spans="1:26" ht="15" customHeight="1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 spans="1:26" ht="15" customHeight="1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</row>
    <row r="928" spans="1:26" ht="15" customHeight="1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 spans="1:26" ht="15" customHeight="1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</row>
    <row r="930" spans="1:26" ht="15" customHeight="1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 spans="1:26" ht="15" customHeight="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</row>
    <row r="932" spans="1:26" ht="15" customHeight="1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 spans="1:26" ht="15" customHeight="1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</row>
    <row r="934" spans="1:26" ht="15" customHeight="1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 spans="1:26" ht="15" customHeight="1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</row>
    <row r="936" spans="1:26" ht="15" customHeight="1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 spans="1:26" ht="15" customHeight="1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</row>
    <row r="938" spans="1:26" ht="15" customHeight="1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 spans="1:26" ht="15" customHeight="1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</row>
    <row r="940" spans="1:26" ht="15" customHeight="1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 spans="1:26" ht="15" customHeight="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</row>
    <row r="942" spans="1:26" ht="15" customHeight="1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 spans="1:26" ht="15" customHeight="1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</row>
    <row r="944" spans="1:26" ht="15" customHeight="1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 spans="1:26" ht="15" customHeight="1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</row>
    <row r="946" spans="1:26" ht="15" customHeight="1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 spans="1:26" ht="15" customHeight="1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</row>
    <row r="948" spans="1:26" ht="15" customHeight="1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 spans="1:26" ht="15" customHeight="1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</row>
    <row r="950" spans="1:26" ht="15" customHeight="1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 spans="1:26" ht="15" customHeight="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</row>
    <row r="952" spans="1:26" ht="15" customHeight="1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 spans="1:26" ht="15" customHeight="1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</row>
    <row r="954" spans="1:26" ht="15" customHeight="1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 spans="1:26" ht="15" customHeight="1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</row>
    <row r="956" spans="1:26" ht="15" customHeight="1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 spans="1:26" ht="15" customHeight="1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</row>
    <row r="958" spans="1:26" ht="15" customHeight="1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 spans="1:26" ht="15" customHeight="1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</row>
    <row r="960" spans="1:26" ht="15" customHeight="1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 spans="1:26" ht="15" customHeight="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</row>
    <row r="962" spans="1:26" ht="15" customHeight="1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 spans="1:26" ht="15" customHeight="1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</row>
    <row r="964" spans="1:26" ht="15" customHeight="1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 spans="1:26" ht="15" customHeight="1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</row>
    <row r="966" spans="1:26" ht="15" customHeight="1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 spans="1:26" ht="15" customHeight="1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</row>
    <row r="968" spans="1:26" ht="15" customHeight="1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 spans="1:26" ht="15" customHeight="1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</row>
    <row r="970" spans="1:26" ht="15" customHeight="1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 spans="1:26" ht="15" customHeight="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</row>
    <row r="972" spans="1:26" ht="15" customHeight="1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  <row r="973" spans="1:26" ht="15" customHeight="1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</row>
    <row r="974" spans="1:26" ht="15" customHeight="1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</row>
    <row r="975" spans="1:26" ht="15" customHeight="1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</row>
    <row r="976" spans="1:26" ht="15" customHeight="1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</row>
    <row r="977" spans="1:26" ht="15" customHeight="1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</row>
    <row r="978" spans="1:26" ht="15" customHeight="1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</row>
    <row r="979" spans="1:26" ht="15" customHeight="1">
      <c r="A979" s="15"/>
      <c r="B979" s="26"/>
      <c r="C979" s="26"/>
      <c r="D979" s="26"/>
      <c r="E979" s="26"/>
      <c r="F979" s="26"/>
      <c r="G979" s="26"/>
      <c r="H979" s="26"/>
      <c r="I979" s="26"/>
      <c r="J979" s="26"/>
      <c r="K979" s="26"/>
      <c r="L979" s="26"/>
      <c r="M979" s="26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</row>
    <row r="980" spans="1:26" ht="15" customHeight="1">
      <c r="A980" s="15"/>
      <c r="B980" s="26"/>
      <c r="C980" s="26"/>
      <c r="D980" s="26"/>
      <c r="E980" s="26"/>
      <c r="F980" s="26"/>
      <c r="G980" s="26"/>
      <c r="H980" s="26"/>
      <c r="I980" s="26"/>
      <c r="J980" s="26"/>
      <c r="K980" s="26"/>
      <c r="L980" s="26"/>
      <c r="M980" s="26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</row>
    <row r="981" spans="1:26" ht="15" customHeight="1">
      <c r="A981" s="15"/>
      <c r="B981" s="26"/>
      <c r="C981" s="26"/>
      <c r="D981" s="26"/>
      <c r="E981" s="26"/>
      <c r="F981" s="26"/>
      <c r="G981" s="26"/>
      <c r="H981" s="26"/>
      <c r="I981" s="26"/>
      <c r="J981" s="26"/>
      <c r="K981" s="26"/>
      <c r="L981" s="26"/>
      <c r="M981" s="26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</row>
    <row r="982" spans="1:26" ht="15" customHeight="1">
      <c r="A982" s="15"/>
      <c r="B982" s="26"/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</row>
    <row r="983" spans="1:26" ht="15" customHeight="1">
      <c r="A983" s="15"/>
      <c r="B983" s="26"/>
      <c r="C983" s="26"/>
      <c r="D983" s="26"/>
      <c r="E983" s="26"/>
      <c r="F983" s="26"/>
      <c r="G983" s="26"/>
      <c r="H983" s="26"/>
      <c r="I983" s="26"/>
      <c r="J983" s="26"/>
      <c r="K983" s="26"/>
      <c r="L983" s="26"/>
      <c r="M983" s="26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</row>
    <row r="984" spans="1:26" ht="15" customHeight="1">
      <c r="A984" s="15"/>
      <c r="B984" s="26"/>
      <c r="C984" s="26"/>
      <c r="D984" s="26"/>
      <c r="E984" s="26"/>
      <c r="F984" s="26"/>
      <c r="G984" s="26"/>
      <c r="H984" s="26"/>
      <c r="I984" s="26"/>
      <c r="J984" s="26"/>
      <c r="K984" s="26"/>
      <c r="L984" s="26"/>
      <c r="M984" s="26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</row>
    <row r="985" spans="1:26" ht="15" customHeight="1">
      <c r="A985" s="15"/>
      <c r="B985" s="26"/>
      <c r="C985" s="26"/>
      <c r="D985" s="26"/>
      <c r="E985" s="26"/>
      <c r="F985" s="26"/>
      <c r="G985" s="26"/>
      <c r="H985" s="26"/>
      <c r="I985" s="26"/>
      <c r="J985" s="26"/>
      <c r="K985" s="26"/>
      <c r="L985" s="26"/>
      <c r="M985" s="26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</row>
    <row r="986" spans="1:26" ht="15" customHeight="1">
      <c r="A986" s="15"/>
      <c r="B986" s="26"/>
      <c r="C986" s="26"/>
      <c r="D986" s="26"/>
      <c r="E986" s="26"/>
      <c r="F986" s="26"/>
      <c r="G986" s="26"/>
      <c r="H986" s="26"/>
      <c r="I986" s="26"/>
      <c r="J986" s="26"/>
      <c r="K986" s="26"/>
      <c r="L986" s="26"/>
      <c r="M986" s="26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</row>
    <row r="987" spans="1:26" ht="15" customHeight="1">
      <c r="A987" s="15"/>
      <c r="B987" s="26"/>
      <c r="C987" s="26"/>
      <c r="D987" s="26"/>
      <c r="E987" s="26"/>
      <c r="F987" s="26"/>
      <c r="G987" s="26"/>
      <c r="H987" s="26"/>
      <c r="I987" s="26"/>
      <c r="J987" s="26"/>
      <c r="K987" s="26"/>
      <c r="L987" s="26"/>
      <c r="M987" s="26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</row>
    <row r="988" spans="1:26" ht="15" customHeight="1">
      <c r="A988" s="15"/>
      <c r="B988" s="26"/>
      <c r="C988" s="26"/>
      <c r="D988" s="26"/>
      <c r="E988" s="26"/>
      <c r="F988" s="26"/>
      <c r="G988" s="26"/>
      <c r="H988" s="26"/>
      <c r="I988" s="26"/>
      <c r="J988" s="26"/>
      <c r="K988" s="26"/>
      <c r="L988" s="26"/>
      <c r="M988" s="26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</row>
    <row r="989" spans="1:26" ht="15" customHeight="1">
      <c r="A989" s="15"/>
      <c r="B989" s="26"/>
      <c r="C989" s="26"/>
      <c r="D989" s="26"/>
      <c r="E989" s="26"/>
      <c r="F989" s="26"/>
      <c r="G989" s="26"/>
      <c r="H989" s="26"/>
      <c r="I989" s="26"/>
      <c r="J989" s="26"/>
      <c r="K989" s="26"/>
      <c r="L989" s="26"/>
      <c r="M989" s="26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</row>
    <row r="990" spans="1:26" ht="15" customHeight="1">
      <c r="A990" s="15"/>
      <c r="B990" s="26"/>
      <c r="C990" s="26"/>
      <c r="D990" s="26"/>
      <c r="E990" s="26"/>
      <c r="F990" s="26"/>
      <c r="G990" s="26"/>
      <c r="H990" s="26"/>
      <c r="I990" s="26"/>
      <c r="J990" s="26"/>
      <c r="K990" s="26"/>
      <c r="L990" s="26"/>
      <c r="M990" s="26"/>
      <c r="N990" s="26"/>
      <c r="O990" s="26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</row>
    <row r="991" spans="1:26" ht="15" customHeight="1">
      <c r="A991" s="15"/>
      <c r="B991" s="26"/>
      <c r="C991" s="26"/>
      <c r="D991" s="26"/>
      <c r="E991" s="26"/>
      <c r="F991" s="26"/>
      <c r="G991" s="26"/>
      <c r="H991" s="26"/>
      <c r="I991" s="26"/>
      <c r="J991" s="26"/>
      <c r="K991" s="26"/>
      <c r="L991" s="26"/>
      <c r="M991" s="26"/>
      <c r="N991" s="26"/>
      <c r="O991" s="26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</row>
    <row r="992" spans="1:26" ht="15" customHeight="1">
      <c r="A992" s="15"/>
      <c r="B992" s="26"/>
      <c r="C992" s="26"/>
      <c r="D992" s="26"/>
      <c r="E992" s="26"/>
      <c r="F992" s="26"/>
      <c r="G992" s="26"/>
      <c r="H992" s="26"/>
      <c r="I992" s="26"/>
      <c r="J992" s="26"/>
      <c r="K992" s="26"/>
      <c r="L992" s="26"/>
      <c r="M992" s="26"/>
      <c r="N992" s="26"/>
      <c r="O992" s="26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</row>
    <row r="993" spans="1:26" ht="15" customHeight="1">
      <c r="A993" s="15"/>
      <c r="B993" s="26"/>
      <c r="C993" s="26"/>
      <c r="D993" s="26"/>
      <c r="E993" s="26"/>
      <c r="F993" s="26"/>
      <c r="G993" s="26"/>
      <c r="H993" s="26"/>
      <c r="I993" s="26"/>
      <c r="J993" s="26"/>
      <c r="K993" s="26"/>
      <c r="L993" s="26"/>
      <c r="M993" s="26"/>
      <c r="N993" s="26"/>
      <c r="O993" s="26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</row>
    <row r="994" spans="1:26" ht="15" customHeight="1">
      <c r="A994" s="15"/>
      <c r="B994" s="26"/>
      <c r="C994" s="26"/>
      <c r="D994" s="26"/>
      <c r="E994" s="26"/>
      <c r="F994" s="26"/>
      <c r="G994" s="26"/>
      <c r="H994" s="26"/>
      <c r="I994" s="26"/>
      <c r="J994" s="26"/>
      <c r="K994" s="26"/>
      <c r="L994" s="26"/>
      <c r="M994" s="26"/>
      <c r="N994" s="26"/>
      <c r="O994" s="26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</row>
    <row r="995" spans="1:26" ht="15" customHeight="1">
      <c r="A995" s="15"/>
      <c r="B995" s="26"/>
      <c r="C995" s="26"/>
      <c r="D995" s="26"/>
      <c r="E995" s="26"/>
      <c r="F995" s="26"/>
      <c r="G995" s="26"/>
      <c r="H995" s="26"/>
      <c r="I995" s="26"/>
      <c r="J995" s="26"/>
      <c r="K995" s="26"/>
      <c r="L995" s="26"/>
      <c r="M995" s="26"/>
      <c r="N995" s="26"/>
      <c r="O995" s="26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</row>
    <row r="996" spans="1:26" ht="15" customHeight="1">
      <c r="A996" s="15"/>
      <c r="B996" s="26"/>
      <c r="C996" s="26"/>
      <c r="D996" s="26"/>
      <c r="E996" s="26"/>
      <c r="F996" s="26"/>
      <c r="G996" s="26"/>
      <c r="H996" s="26"/>
      <c r="I996" s="26"/>
      <c r="J996" s="26"/>
      <c r="K996" s="26"/>
      <c r="L996" s="26"/>
      <c r="M996" s="26"/>
      <c r="N996" s="26"/>
      <c r="O996" s="26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</row>
    <row r="997" spans="1:26" ht="15" customHeight="1">
      <c r="A997" s="15"/>
      <c r="B997" s="26"/>
      <c r="C997" s="26"/>
      <c r="D997" s="26"/>
      <c r="E997" s="26"/>
      <c r="F997" s="26"/>
      <c r="G997" s="26"/>
      <c r="H997" s="26"/>
      <c r="I997" s="26"/>
      <c r="J997" s="26"/>
      <c r="K997" s="26"/>
      <c r="L997" s="26"/>
      <c r="M997" s="26"/>
      <c r="N997" s="26"/>
      <c r="O997" s="26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</row>
    <row r="998" spans="1:26" ht="15" customHeight="1">
      <c r="A998" s="15"/>
      <c r="B998" s="26"/>
      <c r="C998" s="26"/>
      <c r="D998" s="26"/>
      <c r="E998" s="26"/>
      <c r="F998" s="26"/>
      <c r="G998" s="26"/>
      <c r="H998" s="26"/>
      <c r="I998" s="26"/>
      <c r="J998" s="26"/>
      <c r="K998" s="26"/>
      <c r="L998" s="26"/>
      <c r="M998" s="26"/>
      <c r="N998" s="26"/>
      <c r="O998" s="26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</row>
    <row r="999" spans="1:26" ht="15" customHeight="1">
      <c r="A999" s="15"/>
      <c r="B999" s="26"/>
      <c r="C999" s="26"/>
      <c r="D999" s="26"/>
      <c r="E999" s="26"/>
      <c r="F999" s="26"/>
      <c r="G999" s="26"/>
      <c r="H999" s="26"/>
      <c r="I999" s="26"/>
      <c r="J999" s="26"/>
      <c r="K999" s="26"/>
      <c r="L999" s="26"/>
      <c r="M999" s="26"/>
      <c r="N999" s="26"/>
      <c r="O999" s="26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</row>
    <row r="1000" spans="1:26" ht="15" customHeight="1">
      <c r="A1000" s="15"/>
      <c r="B1000" s="26"/>
      <c r="C1000" s="26"/>
      <c r="D1000" s="26"/>
      <c r="E1000" s="26"/>
      <c r="F1000" s="26"/>
      <c r="G1000" s="26"/>
      <c r="H1000" s="26"/>
      <c r="I1000" s="26"/>
      <c r="J1000" s="26"/>
      <c r="K1000" s="26"/>
      <c r="L1000" s="26"/>
      <c r="M1000" s="26"/>
      <c r="N1000" s="26"/>
      <c r="O1000" s="26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</row>
    <row r="1001" spans="1:26" ht="15" customHeight="1">
      <c r="A1001" s="15"/>
      <c r="B1001" s="26"/>
      <c r="C1001" s="26"/>
      <c r="D1001" s="26"/>
      <c r="E1001" s="26"/>
      <c r="F1001" s="26"/>
      <c r="G1001" s="26"/>
      <c r="H1001" s="26"/>
      <c r="I1001" s="26"/>
      <c r="J1001" s="26"/>
      <c r="K1001" s="26"/>
      <c r="L1001" s="26"/>
      <c r="M1001" s="26"/>
      <c r="N1001" s="26"/>
      <c r="O1001" s="26"/>
      <c r="P1001" s="15"/>
      <c r="Q1001" s="15"/>
      <c r="R1001" s="15"/>
      <c r="S1001" s="15"/>
      <c r="T1001" s="15"/>
      <c r="U1001" s="15"/>
      <c r="V1001" s="15"/>
      <c r="W1001" s="15"/>
      <c r="X1001" s="15"/>
      <c r="Y1001" s="15"/>
      <c r="Z1001" s="15"/>
    </row>
    <row r="1002" spans="1:26" ht="15" customHeight="1">
      <c r="A1002" s="15"/>
      <c r="B1002" s="26"/>
      <c r="C1002" s="26"/>
      <c r="D1002" s="26"/>
      <c r="E1002" s="26"/>
      <c r="F1002" s="26"/>
      <c r="G1002" s="26"/>
      <c r="H1002" s="26"/>
      <c r="I1002" s="26"/>
      <c r="J1002" s="26"/>
      <c r="K1002" s="26"/>
      <c r="L1002" s="26"/>
      <c r="M1002" s="26"/>
      <c r="N1002" s="26"/>
      <c r="O1002" s="26"/>
      <c r="P1002" s="15"/>
      <c r="Q1002" s="15"/>
      <c r="R1002" s="15"/>
      <c r="S1002" s="15"/>
      <c r="T1002" s="15"/>
      <c r="U1002" s="15"/>
      <c r="V1002" s="15"/>
      <c r="W1002" s="15"/>
      <c r="X1002" s="15"/>
      <c r="Y1002" s="15"/>
      <c r="Z1002" s="15"/>
    </row>
    <row r="1003" spans="1:26" ht="15" customHeight="1">
      <c r="A1003" s="15"/>
      <c r="B1003" s="26"/>
      <c r="C1003" s="26"/>
      <c r="D1003" s="26"/>
      <c r="E1003" s="26"/>
      <c r="F1003" s="26"/>
      <c r="G1003" s="26"/>
      <c r="H1003" s="26"/>
      <c r="I1003" s="26"/>
      <c r="J1003" s="26"/>
      <c r="K1003" s="26"/>
      <c r="L1003" s="26"/>
      <c r="M1003" s="26"/>
      <c r="N1003" s="26"/>
      <c r="O1003" s="26"/>
      <c r="P1003" s="15"/>
      <c r="Q1003" s="15"/>
      <c r="R1003" s="15"/>
      <c r="S1003" s="15"/>
      <c r="T1003" s="15"/>
      <c r="U1003" s="15"/>
      <c r="V1003" s="15"/>
      <c r="W1003" s="15"/>
      <c r="X1003" s="15"/>
      <c r="Y1003" s="15"/>
      <c r="Z1003" s="15"/>
    </row>
    <row r="1004" spans="1:26" ht="15" customHeight="1">
      <c r="A1004" s="15"/>
      <c r="B1004" s="26"/>
      <c r="C1004" s="26"/>
      <c r="D1004" s="26"/>
      <c r="E1004" s="26"/>
      <c r="F1004" s="26"/>
      <c r="G1004" s="26"/>
      <c r="H1004" s="26"/>
      <c r="I1004" s="26"/>
      <c r="J1004" s="26"/>
      <c r="K1004" s="26"/>
      <c r="L1004" s="26"/>
      <c r="M1004" s="26"/>
      <c r="N1004" s="26"/>
      <c r="O1004" s="26"/>
      <c r="P1004" s="15"/>
      <c r="Q1004" s="15"/>
      <c r="R1004" s="15"/>
      <c r="S1004" s="15"/>
      <c r="T1004" s="15"/>
      <c r="U1004" s="15"/>
      <c r="V1004" s="15"/>
      <c r="W1004" s="15"/>
      <c r="X1004" s="15"/>
      <c r="Y1004" s="15"/>
      <c r="Z1004" s="15"/>
    </row>
    <row r="1005" spans="1:26" ht="15" customHeight="1">
      <c r="A1005" s="15"/>
      <c r="N1005" s="26"/>
      <c r="O1005" s="26"/>
      <c r="P1005" s="15"/>
      <c r="Q1005" s="15"/>
      <c r="R1005" s="15"/>
      <c r="S1005" s="15"/>
      <c r="T1005" s="15"/>
      <c r="U1005" s="15"/>
      <c r="V1005" s="15"/>
      <c r="W1005" s="15"/>
      <c r="X1005" s="15"/>
      <c r="Y1005" s="15"/>
      <c r="Z1005" s="15"/>
    </row>
    <row r="1006" spans="1:26" ht="15" customHeight="1">
      <c r="A1006" s="15"/>
      <c r="N1006" s="26"/>
      <c r="O1006" s="26"/>
      <c r="P1006" s="15"/>
      <c r="Q1006" s="15"/>
      <c r="R1006" s="15"/>
      <c r="S1006" s="15"/>
      <c r="T1006" s="15"/>
      <c r="U1006" s="15"/>
      <c r="V1006" s="15"/>
      <c r="W1006" s="15"/>
      <c r="X1006" s="15"/>
      <c r="Y1006" s="15"/>
      <c r="Z1006" s="15"/>
    </row>
    <row r="1007" spans="1:26" ht="15" customHeight="1">
      <c r="A1007" s="15"/>
      <c r="N1007" s="26"/>
      <c r="O1007" s="26"/>
      <c r="P1007" s="15"/>
      <c r="Q1007" s="15"/>
      <c r="R1007" s="15"/>
      <c r="S1007" s="15"/>
      <c r="T1007" s="15"/>
      <c r="U1007" s="15"/>
      <c r="V1007" s="15"/>
      <c r="W1007" s="15"/>
      <c r="X1007" s="15"/>
      <c r="Y1007" s="15"/>
      <c r="Z1007" s="15"/>
    </row>
  </sheetData>
  <autoFilter ref="B103:L138" xr:uid="{00000000-0009-0000-0000-000000000000}"/>
  <mergeCells count="190">
    <mergeCell ref="B223:G223"/>
    <mergeCell ref="H223:M223"/>
    <mergeCell ref="B226:M226"/>
    <mergeCell ref="C229:D232"/>
    <mergeCell ref="E229:K232"/>
    <mergeCell ref="L229:L232"/>
    <mergeCell ref="E233:K233"/>
    <mergeCell ref="L233:M233"/>
    <mergeCell ref="B235:M235"/>
    <mergeCell ref="B213:M213"/>
    <mergeCell ref="B215:M215"/>
    <mergeCell ref="B216:M216"/>
    <mergeCell ref="B217:M219"/>
    <mergeCell ref="B220:G220"/>
    <mergeCell ref="H220:M220"/>
    <mergeCell ref="B221:G221"/>
    <mergeCell ref="H221:M221"/>
    <mergeCell ref="B222:G222"/>
    <mergeCell ref="H222:M222"/>
    <mergeCell ref="C206:M206"/>
    <mergeCell ref="C207:M207"/>
    <mergeCell ref="C208:M208"/>
    <mergeCell ref="C209:M209"/>
    <mergeCell ref="B211:D211"/>
    <mergeCell ref="E211:H211"/>
    <mergeCell ref="I211:J211"/>
    <mergeCell ref="K211:M211"/>
    <mergeCell ref="B212:D212"/>
    <mergeCell ref="E212:H212"/>
    <mergeCell ref="I212:J212"/>
    <mergeCell ref="B191:M191"/>
    <mergeCell ref="B192:M193"/>
    <mergeCell ref="B194:M194"/>
    <mergeCell ref="B195:M197"/>
    <mergeCell ref="C199:M199"/>
    <mergeCell ref="B201:M201"/>
    <mergeCell ref="B202:M202"/>
    <mergeCell ref="C204:M204"/>
    <mergeCell ref="C205:M205"/>
    <mergeCell ref="B174:M177"/>
    <mergeCell ref="B179:M179"/>
    <mergeCell ref="B180:M180"/>
    <mergeCell ref="B182:M182"/>
    <mergeCell ref="B183:M184"/>
    <mergeCell ref="B185:M185"/>
    <mergeCell ref="B186:M187"/>
    <mergeCell ref="B188:M188"/>
    <mergeCell ref="B189:M190"/>
    <mergeCell ref="B152:M152"/>
    <mergeCell ref="B158:M158"/>
    <mergeCell ref="B159:M159"/>
    <mergeCell ref="B161:M161"/>
    <mergeCell ref="B162:M162"/>
    <mergeCell ref="B163:M166"/>
    <mergeCell ref="B167:M167"/>
    <mergeCell ref="B171:M171"/>
    <mergeCell ref="B172:M172"/>
    <mergeCell ref="B140:M140"/>
    <mergeCell ref="B142:M142"/>
    <mergeCell ref="B144:M144"/>
    <mergeCell ref="B146:M146"/>
    <mergeCell ref="B148:D148"/>
    <mergeCell ref="E148:G148"/>
    <mergeCell ref="B149:D149"/>
    <mergeCell ref="E149:G149"/>
    <mergeCell ref="B151:D151"/>
    <mergeCell ref="E151:M151"/>
    <mergeCell ref="B99:D99"/>
    <mergeCell ref="E99:G99"/>
    <mergeCell ref="H99:J99"/>
    <mergeCell ref="K99:M99"/>
    <mergeCell ref="B100:D100"/>
    <mergeCell ref="E100:G100"/>
    <mergeCell ref="H100:J100"/>
    <mergeCell ref="K100:M100"/>
    <mergeCell ref="B101:D101"/>
    <mergeCell ref="E101:G101"/>
    <mergeCell ref="H101:J101"/>
    <mergeCell ref="K101:M101"/>
    <mergeCell ref="B87:D87"/>
    <mergeCell ref="E87:G87"/>
    <mergeCell ref="H87:J87"/>
    <mergeCell ref="K87:M87"/>
    <mergeCell ref="B89:M89"/>
    <mergeCell ref="B91:M91"/>
    <mergeCell ref="B94:M94"/>
    <mergeCell ref="B96:M96"/>
    <mergeCell ref="B98:D98"/>
    <mergeCell ref="E98:G98"/>
    <mergeCell ref="H98:J98"/>
    <mergeCell ref="K98:M98"/>
    <mergeCell ref="B81:M83"/>
    <mergeCell ref="B85:D85"/>
    <mergeCell ref="E85:G85"/>
    <mergeCell ref="H85:J85"/>
    <mergeCell ref="K85:M85"/>
    <mergeCell ref="B86:D86"/>
    <mergeCell ref="E86:G86"/>
    <mergeCell ref="H86:J86"/>
    <mergeCell ref="K86:M86"/>
    <mergeCell ref="B72:D72"/>
    <mergeCell ref="E72:H72"/>
    <mergeCell ref="I72:J72"/>
    <mergeCell ref="K72:M72"/>
    <mergeCell ref="B73:D73"/>
    <mergeCell ref="E73:M73"/>
    <mergeCell ref="B74:M74"/>
    <mergeCell ref="B78:M78"/>
    <mergeCell ref="B79:M79"/>
    <mergeCell ref="B64:M64"/>
    <mergeCell ref="B65:M65"/>
    <mergeCell ref="B67:M68"/>
    <mergeCell ref="B70:D70"/>
    <mergeCell ref="E70:H70"/>
    <mergeCell ref="I70:J70"/>
    <mergeCell ref="K70:M70"/>
    <mergeCell ref="B71:D71"/>
    <mergeCell ref="E71:H71"/>
    <mergeCell ref="I71:J71"/>
    <mergeCell ref="K71:M71"/>
    <mergeCell ref="B58:D58"/>
    <mergeCell ref="E58:H58"/>
    <mergeCell ref="I58:J58"/>
    <mergeCell ref="K58:M58"/>
    <mergeCell ref="B59:D59"/>
    <mergeCell ref="E59:H59"/>
    <mergeCell ref="I59:J59"/>
    <mergeCell ref="K59:M59"/>
    <mergeCell ref="B60:D60"/>
    <mergeCell ref="E60:H60"/>
    <mergeCell ref="I60:J60"/>
    <mergeCell ref="K60:M60"/>
    <mergeCell ref="B46:D46"/>
    <mergeCell ref="E46:H46"/>
    <mergeCell ref="I46:J46"/>
    <mergeCell ref="K46:M46"/>
    <mergeCell ref="B47:M47"/>
    <mergeCell ref="B49:M49"/>
    <mergeCell ref="B50:M50"/>
    <mergeCell ref="B51:M54"/>
    <mergeCell ref="B56:M56"/>
    <mergeCell ref="B33:D33"/>
    <mergeCell ref="E33:M33"/>
    <mergeCell ref="B34:M34"/>
    <mergeCell ref="B38:M38"/>
    <mergeCell ref="B39:M39"/>
    <mergeCell ref="B41:M41"/>
    <mergeCell ref="B42:M42"/>
    <mergeCell ref="B43:M43"/>
    <mergeCell ref="B44:M44"/>
    <mergeCell ref="B28:D28"/>
    <mergeCell ref="E28:M28"/>
    <mergeCell ref="B29:D29"/>
    <mergeCell ref="E29:M29"/>
    <mergeCell ref="B30:D30"/>
    <mergeCell ref="E30:M30"/>
    <mergeCell ref="B31:D31"/>
    <mergeCell ref="E31:M31"/>
    <mergeCell ref="B32:D32"/>
    <mergeCell ref="E32:M32"/>
    <mergeCell ref="B23:D23"/>
    <mergeCell ref="E23:M23"/>
    <mergeCell ref="B24:D24"/>
    <mergeCell ref="E24:M24"/>
    <mergeCell ref="B25:D25"/>
    <mergeCell ref="E25:M25"/>
    <mergeCell ref="B26:D26"/>
    <mergeCell ref="E26:M26"/>
    <mergeCell ref="B27:D27"/>
    <mergeCell ref="E27:M27"/>
    <mergeCell ref="B12:E12"/>
    <mergeCell ref="F12:I12"/>
    <mergeCell ref="J12:M12"/>
    <mergeCell ref="B13:E13"/>
    <mergeCell ref="F13:I13"/>
    <mergeCell ref="J13:M13"/>
    <mergeCell ref="B16:M17"/>
    <mergeCell ref="B20:M20"/>
    <mergeCell ref="B21:M21"/>
    <mergeCell ref="B3:D7"/>
    <mergeCell ref="E3:M3"/>
    <mergeCell ref="E4:M4"/>
    <mergeCell ref="E5:M5"/>
    <mergeCell ref="E6:M6"/>
    <mergeCell ref="B10:E10"/>
    <mergeCell ref="F10:I10"/>
    <mergeCell ref="J10:M10"/>
    <mergeCell ref="B11:E11"/>
    <mergeCell ref="F11:I11"/>
    <mergeCell ref="J11:M11"/>
  </mergeCells>
  <conditionalFormatting sqref="B204:B209">
    <cfRule type="expression" dxfId="7" priority="9">
      <formula>$B204="☑"</formula>
    </cfRule>
  </conditionalFormatting>
  <conditionalFormatting sqref="B199:M199">
    <cfRule type="expression" dxfId="6" priority="7">
      <formula>$B199="☑"</formula>
    </cfRule>
    <cfRule type="expression" dxfId="5" priority="8">
      <formula>$B199&lt;&gt;"☑"</formula>
    </cfRule>
  </conditionalFormatting>
  <conditionalFormatting sqref="I104:I139 I141">
    <cfRule type="expression" dxfId="4" priority="5">
      <formula>$I104="참여 희망"</formula>
    </cfRule>
  </conditionalFormatting>
  <conditionalFormatting sqref="K104:K139 K141">
    <cfRule type="expression" dxfId="3" priority="2">
      <formula>OR($K104="대표",$K104="부대표",$K104="회장단·운영진",$K104="임원진")</formula>
    </cfRule>
    <cfRule type="expression" dxfId="2" priority="3">
      <formula>$K104="일반 부원"</formula>
    </cfRule>
  </conditionalFormatting>
  <conditionalFormatting sqref="M139 M141">
    <cfRule type="expression" dxfId="1" priority="4">
      <formula>$M139="☑"</formula>
    </cfRule>
  </conditionalFormatting>
  <conditionalFormatting sqref="M139:M141 B104:L141">
    <cfRule type="expression" dxfId="0" priority="6">
      <formula>MOD(ROW(),2)=0</formula>
    </cfRule>
  </conditionalFormatting>
  <dataValidations count="8">
    <dataValidation type="list" allowBlank="1" showInputMessage="1" showErrorMessage="1" prompt="입력값 확인 - 목록에 있는 항목 중에서 선택해 주세요." sqref="I104:I138" xr:uid="{00000000-0002-0000-0000-000000000000}">
      <formula1>"참여 희망,참여하지 않음,미정"</formula1>
      <formula2>0</formula2>
    </dataValidation>
    <dataValidation type="list" allowBlank="1" showInputMessage="1" showErrorMessage="1" prompt="입력값 확인 - 목록에 있는 항목 중에서 선택해 주세요." sqref="E60 K60" xr:uid="{00000000-0002-0000-0000-000001000000}">
      <formula1>"가능,불가능,미정"</formula1>
      <formula2>0</formula2>
    </dataValidation>
    <dataValidation type="list" allowBlank="1" showInputMessage="1" showErrorMessage="1" prompt="입력값 확인 - 목록에 있는 항목 중에서 선택해 주세요." sqref="K104:K138" xr:uid="{00000000-0002-0000-0000-000002000000}">
      <formula1>"대표,부대표,회장단·운영진,임원진,일반 부원,외부 동행인,기타"</formula1>
      <formula2>0</formula2>
    </dataValidation>
    <dataValidation type="list" allowBlank="1" showInputMessage="1" showErrorMessage="1" prompt="입력값 확인 - 목록에 있는 항목 중에서 선택해 주세요." sqref="F13" xr:uid="{00000000-0002-0000-0000-000003000000}">
      <formula1>"작성 중,단체 내부 확인 중,최종 제출 완료,수정 요청,VAN 확인 완료"</formula1>
      <formula2>0</formula2>
    </dataValidation>
    <dataValidation type="list" allowBlank="1" showInputMessage="1" showErrorMessage="1" prompt="입력값 확인 - 목록에 있는 항목 중에서 선택해 주세요." sqref="K71" xr:uid="{00000000-0002-0000-0000-000004000000}">
      <formula1>"투명 배경 PNG,흰색 배경,검은색 배경,벡터 파일,기타"</formula1>
      <formula2>0</formula2>
    </dataValidation>
    <dataValidation type="list" allowBlank="1" showInputMessage="1" showErrorMessage="1" prompt="입력값 확인 - 목록에 있는 항목 중에서 선택해 주세요." sqref="B199 B204:B209" xr:uid="{00000000-0002-0000-0000-000005000000}">
      <formula1>"☐,☑"</formula1>
      <formula2>0</formula2>
    </dataValidation>
    <dataValidation type="list" allowBlank="1" showInputMessage="1" showErrorMessage="1" prompt="입력값 확인 - 목록에 있는 항목 중에서 선택해 주세요." sqref="J104:J138" xr:uid="{00000000-0002-0000-0000-000006000000}">
      <formula1>"영어로 원활한 대화 가능 — 영어 사용 테이블 희망,간단한 영어 대화 가능,영어 사용이 어려움 — 한국어 사용 테이블 희망"</formula1>
      <formula2>0</formula2>
    </dataValidation>
    <dataValidation type="list" allowBlank="1" showInputMessage="1" showErrorMessage="1" prompt="입력값 확인 - 목록에 있는 항목 중에서 선택해 주세요." sqref="E46" xr:uid="{00000000-0002-0000-0000-000007000000}">
      <formula1>"학회,학술단체,중앙동아리,단과대·학과 동아리,학생회,프로젝트팀,비영리단체,대학연합단체,기타"</formula1>
      <formula2>0</formula2>
    </dataValidation>
  </dataValidations>
  <printOptions horizontalCentered="1"/>
  <pageMargins left="0.3" right="0.3" top="0.4" bottom="0.4" header="0.511811023622047" footer="0"/>
  <pageSetup paperSize="9" fitToHeight="0" orientation="landscape" horizontalDpi="300" verticalDpi="300"/>
  <headerFooter>
    <oddFooter>&amp;L VAN CONFERENCE 2026 · 참여 단체별 최종 참가자 명단 제출서&amp;R &amp;P /</oddFooter>
  </headerFooter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단체 참여자 최종 명단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유수경 [학부 / 정치외교학과]</cp:lastModifiedBy>
  <cp:revision>0</cp:revision>
  <dcterms:created xsi:type="dcterms:W3CDTF">2026-08-03T09:26:29Z</dcterms:created>
  <dcterms:modified xsi:type="dcterms:W3CDTF">2026-08-03T10:13:48Z</dcterms:modified>
  <dc:language>en-US</dc:language>
</cp:coreProperties>
</file>